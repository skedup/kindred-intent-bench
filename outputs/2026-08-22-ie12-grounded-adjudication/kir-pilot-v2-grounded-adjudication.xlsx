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skedushwang/projects/kindred-intent-bench/outputs/2026-08-22-ie12-grounded-adjudication/"/>
    </mc:Choice>
  </mc:AlternateContent>
  <xr:revisionPtr revIDLastSave="0" documentId="13_ncr:1_{C83B1394-D3A7-2342-8DD2-A010FD04C53E}" xr6:coauthVersionLast="47" xr6:coauthVersionMax="47" xr10:uidLastSave="{00000000-0000-0000-0000-000000000000}"/>
  <bookViews>
    <workbookView xWindow="80" yWindow="1000" windowWidth="34560" windowHeight="21580" activeTab="1" xr2:uid="{00000000-000D-0000-FFFF-FFFF00000000}"/>
  </bookViews>
  <sheets>
    <sheet name="仲裁说明" sheetId="1" r:id="rId1"/>
    <sheet name="仲裁工作台" sheetId="2" r:id="rId2"/>
    <sheet name="规则依据" sheetId="3" r:id="rId3"/>
    <sheet name="选项与元数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3" i="2" l="1"/>
  <c r="AE33" i="2" s="1"/>
  <c r="AC32" i="2"/>
  <c r="AE32" i="2" s="1"/>
  <c r="AC31" i="2"/>
  <c r="AE31" i="2" s="1"/>
  <c r="AC30" i="2"/>
  <c r="AE30" i="2" s="1"/>
  <c r="AC29" i="2"/>
  <c r="AE29" i="2" s="1"/>
  <c r="AC28" i="2"/>
  <c r="AE28" i="2" s="1"/>
  <c r="AC27" i="2"/>
  <c r="AE27" i="2" s="1"/>
  <c r="AC26" i="2"/>
  <c r="AE26" i="2" s="1"/>
  <c r="AC25" i="2"/>
  <c r="AE25" i="2" s="1"/>
  <c r="AC24" i="2"/>
  <c r="AE24" i="2" s="1"/>
  <c r="AC23" i="2"/>
  <c r="AE23" i="2" s="1"/>
  <c r="AC22" i="2"/>
  <c r="AE22" i="2" s="1"/>
  <c r="AC21" i="2"/>
  <c r="AE21" i="2" s="1"/>
  <c r="AC20" i="2"/>
  <c r="AE20" i="2" s="1"/>
  <c r="AC19" i="2"/>
  <c r="AE19" i="2" s="1"/>
  <c r="AC18" i="2"/>
  <c r="AE18" i="2" s="1"/>
  <c r="AC17" i="2"/>
  <c r="AE17" i="2" s="1"/>
  <c r="AC16" i="2"/>
  <c r="AE16" i="2" s="1"/>
  <c r="AC15" i="2"/>
  <c r="AE15" i="2" s="1"/>
  <c r="AC14" i="2"/>
  <c r="AD14" i="2" s="1"/>
  <c r="AC13" i="2"/>
  <c r="AE13" i="2" s="1"/>
  <c r="AC12" i="2"/>
  <c r="AE12" i="2" s="1"/>
  <c r="AC11" i="2"/>
  <c r="AE11" i="2" s="1"/>
  <c r="AC10" i="2"/>
  <c r="AE10" i="2" s="1"/>
  <c r="AC9" i="2"/>
  <c r="AE9" i="2" s="1"/>
  <c r="AC8" i="2"/>
  <c r="AE8" i="2" s="1"/>
  <c r="AC7" i="2"/>
  <c r="AE7" i="2" s="1"/>
  <c r="AC6" i="2"/>
  <c r="AD6" i="2" s="1"/>
  <c r="AC5" i="2"/>
  <c r="AE5" i="2" s="1"/>
  <c r="AC4" i="2"/>
  <c r="AE4" i="2" s="1"/>
  <c r="AC3" i="2"/>
  <c r="AE3" i="2" s="1"/>
  <c r="AC2" i="2"/>
  <c r="AD2" i="2" s="1"/>
  <c r="AD10" i="2" l="1"/>
  <c r="AD18" i="2"/>
  <c r="AD22" i="2"/>
  <c r="AD30" i="2"/>
  <c r="AE2" i="2"/>
  <c r="AE6" i="2"/>
  <c r="AE14" i="2"/>
  <c r="AD3" i="2"/>
  <c r="AD7" i="2"/>
  <c r="AD11" i="2"/>
  <c r="AD15" i="2"/>
  <c r="AD19" i="2"/>
  <c r="AD23" i="2"/>
  <c r="AD27" i="2"/>
  <c r="AD31" i="2"/>
  <c r="AD4" i="2"/>
  <c r="AD8" i="2"/>
  <c r="AD12" i="2"/>
  <c r="AD16" i="2"/>
  <c r="AD20" i="2"/>
  <c r="AD24" i="2"/>
  <c r="AD28" i="2"/>
  <c r="AD32" i="2"/>
  <c r="AD26" i="2"/>
  <c r="AD5" i="2"/>
  <c r="AD9" i="2"/>
  <c r="AD13" i="2"/>
  <c r="AD17" i="2"/>
  <c r="AD21" i="2"/>
  <c r="AD25" i="2"/>
  <c r="AD29" i="2"/>
  <c r="AD33" i="2"/>
  <c r="B4" i="1" l="1"/>
  <c r="B5" i="1"/>
</calcChain>
</file>

<file path=xl/sharedStrings.xml><?xml version="1.0" encoding="utf-8"?>
<sst xmlns="http://schemas.openxmlformats.org/spreadsheetml/2006/main" count="939" uniqueCount="433">
  <si>
    <t>Kindred 意图识别 · IE1.2 Grounded 分歧仲裁</t>
  </si>
  <si>
    <t>状态</t>
  </si>
  <si>
    <t>pending_adjudication</t>
  </si>
  <si>
    <t>已完成</t>
  </si>
  <si>
    <t>待仲裁</t>
  </si>
  <si>
    <t>总样本</t>
  </si>
  <si>
    <t>必须人工决策</t>
  </si>
  <si>
    <t>grounding 边界项</t>
  </si>
  <si>
    <t>一致项抽查</t>
  </si>
  <si>
    <t>你需要做什么</t>
  </si>
  <si>
    <t>1</t>
  </si>
  <si>
    <t>在“仲裁工作台”筛选 status=待仲裁；15 条一致项已预填，只需抽查。</t>
  </si>
  <si>
    <t>2</t>
  </si>
  <si>
    <t>先处理 7 条 grounding 边界项：运行时合同均给出 OOS 倾向，请核对证据后仲裁，不再自动升级产品策略。</t>
  </si>
  <si>
    <t>3</t>
  </si>
  <si>
    <t>其余 10 条检查 decision 规则或 target 下拉误选；建议只是当前规则倾向，不是正式 Gold。</t>
  </si>
  <si>
    <t>4</t>
  </si>
  <si>
    <t>填写仲裁动作、final decision/target/horizon 和仲裁理由。非 in_scope 必须清空 final_target。</t>
  </si>
  <si>
    <t>5</t>
  </si>
  <si>
    <t>只有选择“修改分类规则”时才填写 taxonomy 修改说明；“重写或删除样本”无需 final label。</t>
  </si>
  <si>
    <t>仲裁动作</t>
  </si>
  <si>
    <t>确认一致标签</t>
  </si>
  <si>
    <t>仅用于 agreement_audit；沿用人工与草稿一致的受控标签。</t>
  </si>
  <si>
    <t>接受人工标签</t>
  </si>
  <si>
    <t>最终标签采用人工盲审判断。</t>
  </si>
  <si>
    <t>保留草稿标签</t>
  </si>
  <si>
    <t>最终标签采用 LLM 辅助草稿判断。</t>
  </si>
  <si>
    <t>修改分类规则</t>
  </si>
  <si>
    <t>先确定 final label，并明确需要修改的 taxonomy 或 decision 规则。</t>
  </si>
  <si>
    <t>重写或删除样本</t>
  </si>
  <si>
    <t>样本本身无法稳定标注，不进入本版正式 Gold。</t>
  </si>
  <si>
    <t>重要</t>
  </si>
  <si>
    <t>人工标签和 LLM 辅助草稿都不是自动 Gold。只有本次仲裁完成并冻结 provenance 后，受控字段才成为评测标准。</t>
  </si>
  <si>
    <t>自由文本</t>
  </si>
  <si>
    <t>evidence_quote 只需是上下文中的有效连续片段；desired_experience/object 不做字符串完全一致仲裁。</t>
  </si>
  <si>
    <t>packet_item_id</t>
  </si>
  <si>
    <t>sample_kind</t>
  </si>
  <si>
    <t>review_focus</t>
  </si>
  <si>
    <t>review_item_id</t>
  </si>
  <si>
    <t>candidate_id</t>
  </si>
  <si>
    <t>state_summary</t>
  </si>
  <si>
    <t>conversation</t>
  </si>
  <si>
    <t>recent_activities</t>
  </si>
  <si>
    <t>人工 decision</t>
  </si>
  <si>
    <t>人工 target</t>
  </si>
  <si>
    <t>人工 horizon</t>
  </si>
  <si>
    <t>人工 evidence</t>
  </si>
  <si>
    <t>人工 slots</t>
  </si>
  <si>
    <t>草稿 decision</t>
  </si>
  <si>
    <t>草稿 target</t>
  </si>
  <si>
    <t>草稿 horizon</t>
  </si>
  <si>
    <t>草稿 evidence</t>
  </si>
  <si>
    <t>草稿 slots</t>
  </si>
  <si>
    <t>tags</t>
  </si>
  <si>
    <t>hard_negative_against</t>
  </si>
  <si>
    <t>建议</t>
  </si>
  <si>
    <t>建议依据</t>
  </si>
  <si>
    <t>仲裁动作（填写）</t>
  </si>
  <si>
    <t>final_decision（填写）</t>
  </si>
  <si>
    <t>final_target（填写）</t>
  </si>
  <si>
    <t>final_horizon（填写）</t>
  </si>
  <si>
    <t>仲裁理由（填写）</t>
  </si>
  <si>
    <t>taxonomy 修改说明（如需）</t>
  </si>
  <si>
    <t>status（自动）</t>
  </si>
  <si>
    <t>complete_flag</t>
  </si>
  <si>
    <t>pending_flag</t>
  </si>
  <si>
    <t>adjudication-0001</t>
  </si>
  <si>
    <t>hierarchical_disagreement</t>
  </si>
  <si>
    <t>near_oos_grounding_boundary</t>
  </si>
  <si>
    <t>review-initial-0010</t>
  </si>
  <si>
    <t>draft-kir-pilot-v2-0087</t>
  </si>
  <si>
    <t>正在考虑下一项活动。</t>
  </si>
  <si>
    <t>Kindred: 上一项活动已经结束了。
User: 不要自动沿用刚才的活动，接下来呢？
Kindred: 现在打开小红书私信，查看博主私下发来的周末生活照片。</t>
  </si>
  <si>
    <t>in_scope</t>
  </si>
  <si>
    <t>play_xiaohongshu</t>
  </si>
  <si>
    <t>now</t>
  </si>
  <si>
    <t>打开小红书私信</t>
  </si>
  <si>
    <t>object=私信</t>
  </si>
  <si>
    <t>oos</t>
  </si>
  <si>
    <t>现在打开小红书私信，查看博主私下发来的周末生活照片。</t>
  </si>
  <si>
    <t>experience=现在打开小红书私信，查看博主私下发来的周末生活照片</t>
  </si>
  <si>
    <t>multi_turn, near_oos, hard_negative, hypothesized_weak_model_probe, slot_required, multi_turn_recency</t>
  </si>
  <si>
    <t>grounded_oos_recommendation</t>
  </si>
  <si>
    <t>use_xhs 明确排除 private messages；平台内私信不是公开内容消费或互动。
合同来源：life_assets/actions/use_xhs/SKILL.md</t>
  </si>
  <si>
    <t>adjudication-0002</t>
  </si>
  <si>
    <t>review-initial-0018</t>
  </si>
  <si>
    <t>draft-kir-pilot-v2-0088</t>
  </si>
  <si>
    <t>给同一位博主私信询问穿搭链接。</t>
  </si>
  <si>
    <t>给同一位博主私信</t>
  </si>
  <si>
    <t>object=私信询问</t>
  </si>
  <si>
    <t>experience=给同一位博主私信询问穿搭链接</t>
  </si>
  <si>
    <t>single_turn, near_oos, hard_negative, hypothesized_weak_model_probe, slot_required</t>
  </si>
  <si>
    <t>use_xhs 明确排除 private messages；向博主发私信也不是 reach_out_to_user。
合同来源：life_assets/actions/use_xhs/SKILL.md</t>
  </si>
  <si>
    <t>adjudication-0003</t>
  </si>
  <si>
    <t>review-initial-0032</t>
  </si>
  <si>
    <t>draft-kir-pilot-v2-0081</t>
  </si>
  <si>
    <t>Kindred: 我刚才还考虑过先休息。
User: 那只是之前的候选，你现在怎么决定？
Kindred: 现在只给现有雨景照片调色裁剪，不创作新图。</t>
  </si>
  <si>
    <t>create_picture</t>
  </si>
  <si>
    <t>给现有雨景照片调色裁剪</t>
  </si>
  <si>
    <t>现在只给现有雨景照片调色裁剪，不创作新图。</t>
  </si>
  <si>
    <t>experience=现在只给现有雨景照片调色裁剪，不创作新图</t>
  </si>
  <si>
    <t>multi_turn, near_oos, hard_negative, hypothesized_weak_model_probe, slot_required, multi_turn_override</t>
  </si>
  <si>
    <t>create_picture 只使用 draw；核心合同是从具体构思形成新的视觉作品，不含已有图像编辑。
合同来源：life_assets/activities/create_picture/manifest.yaml; life_assets/actions/draw/manifest.yaml</t>
  </si>
  <si>
    <t>adjudication-0004</t>
  </si>
  <si>
    <t>review-initial-0045</t>
  </si>
  <si>
    <t>draft-kir-pilot-v2-0086</t>
  </si>
  <si>
    <t>比较外卖菜单，但现在不下单也不吃。</t>
  </si>
  <si>
    <t>ambiguous</t>
  </si>
  <si>
    <t>不下单也不吃</t>
  </si>
  <si>
    <t>object=外卖菜单</t>
  </si>
  <si>
    <t>experience=比较外卖菜单，但现在不下单也不吃</t>
  </si>
  <si>
    <t>eat_at_home</t>
  </si>
  <si>
    <t>比较菜单是唯一、具体的当前行动；输入明确不下单也不吃，因此不是 ambiguous 或 eat_at_home。
合同来源：life_assets/activities/eat_at_home/manifest.yaml; life_assets/actions/eat/manifest.yaml</t>
  </si>
  <si>
    <t>adjudication-0005</t>
  </si>
  <si>
    <t>review-initial-0070</t>
  </si>
  <si>
    <t>draft-kir-pilot-v2-0082</t>
  </si>
  <si>
    <t>想把已有机器人海报上的文字和尺寸改一下。</t>
  </si>
  <si>
    <t>把已有机器人海报上的文字和尺寸改</t>
  </si>
  <si>
    <t>experience=想把已有机器人海报上的文字和尺寸改一下</t>
  </si>
  <si>
    <t>修改已有海报的文字和尺寸不是 draw 合同中的新作品创作。
合同来源：life_assets/activities/create_picture/manifest.yaml; life_assets/actions/draw/SKILL.md</t>
  </si>
  <si>
    <t>adjudication-0006</t>
  </si>
  <si>
    <t>review-initial-0150</t>
  </si>
  <si>
    <t>draft-kir-pilot-v2-0094</t>
  </si>
  <si>
    <t>想下楼在同一街区慢跑十分钟。</t>
  </si>
  <si>
    <t>take_a_walk</t>
  </si>
  <si>
    <t>慢跑十分钟</t>
  </si>
  <si>
    <t>object=同一街区</t>
  </si>
  <si>
    <t>experience=想下楼在同一街区慢跑十分钟</t>
  </si>
  <si>
    <t>take_a_walk 的已注册动作是 walk；慢跑不是步行。
合同来源：life_assets/activities/take_a_walk/manifest.yaml; life_assets/actions/walk/manifest.yaml</t>
  </si>
  <si>
    <t>adjudication-0007</t>
  </si>
  <si>
    <t>review-initial-0157</t>
  </si>
  <si>
    <t>draft-kir-pilot-v2-0085</t>
  </si>
  <si>
    <t>Kindred: 我原来想晚点再决定。
User: 以你此刻的决定为准。
Kindred: 现在在厨房整理食谱，今天不做饭也不吃。</t>
  </si>
  <si>
    <t>no_intent</t>
  </si>
  <si>
    <t>今天不做饭也不吃</t>
  </si>
  <si>
    <t>object=食谱</t>
  </si>
  <si>
    <t>现在在厨房整理食谱，今天不做饭也不吃。</t>
  </si>
  <si>
    <t>experience=现在在厨房整理食谱，今天不做饭也不吃</t>
  </si>
  <si>
    <t>multi_turn, near_oos, hard_negative, hypothesized_weak_model_probe, slot_required, multi_turn_reconsideration</t>
  </si>
  <si>
    <t>整理食谱是具体当前行动，但输入明确拒绝准备和进食，因此既不是 no_intent 也不是 eat_at_home。
合同来源：life_assets/activities/eat_at_home/manifest.yaml; life_assets/actions/prepare_food/manifest.yaml</t>
  </si>
  <si>
    <t>adjudication-0008</t>
  </si>
  <si>
    <t>decision_rule_boundary</t>
  </si>
  <si>
    <t>review-initial-0011</t>
  </si>
  <si>
    <t>draft-kir-pilot-v2-0158</t>
  </si>
  <si>
    <t>现在可以去散步，也可以骑车，暂时不选。</t>
  </si>
  <si>
    <t>暂时不选</t>
  </si>
  <si>
    <t>single_turn</t>
  </si>
  <si>
    <t>current_rule_lean_keep_draft</t>
  </si>
  <si>
    <t>依据当前书面 decision 规则倾向保留草稿, 但规则本身仍需人工确认。</t>
  </si>
  <si>
    <t>adjudication-0009</t>
  </si>
  <si>
    <t>review-initial-0021</t>
  </si>
  <si>
    <t>draft-kir-pilot-v2-0131</t>
  </si>
  <si>
    <t>哪天可能学一首吉他曲，但不是现在。</t>
  </si>
  <si>
    <t>later</t>
  </si>
  <si>
    <t>学一首吉他曲</t>
  </si>
  <si>
    <t>object=吉他曲</t>
  </si>
  <si>
    <t>single_turn, quiet_control</t>
  </si>
  <si>
    <t>adjudication-0010</t>
  </si>
  <si>
    <t>review-initial-0037</t>
  </si>
  <si>
    <t>draft-kir-pilot-v2-0151</t>
  </si>
  <si>
    <t>想离开屋子一会儿，目的地还完全没想好。</t>
  </si>
  <si>
    <t>离开屋子一会儿</t>
  </si>
  <si>
    <t>single_turn, slot_required</t>
  </si>
  <si>
    <t>adjudication-0011</t>
  </si>
  <si>
    <t>review-initial-0049</t>
  </si>
  <si>
    <t>draft-kir-pilot-v2-0153</t>
  </si>
  <si>
    <t>想画点东西或调整以前的照片，目前都可以。</t>
  </si>
  <si>
    <t>画点东西或调整以前的照片</t>
  </si>
  <si>
    <t>experience=欣赏艺术</t>
  </si>
  <si>
    <t>adjudication-0012</t>
  </si>
  <si>
    <t>review-initial-0084</t>
  </si>
  <si>
    <t>draft-kir-pilot-v2-0148</t>
  </si>
  <si>
    <t>接下来想找点有意思的内容看看，类型还没决定。</t>
  </si>
  <si>
    <t>找点有意思的内容看看</t>
  </si>
  <si>
    <t>experience=看有意思的内容
object=内容</t>
  </si>
  <si>
    <t>adjudication-0013</t>
  </si>
  <si>
    <t>review-initial-0103</t>
  </si>
  <si>
    <t>draft-kir-pilot-v2-0154</t>
  </si>
  <si>
    <t>现在想找个地方坐坐，餐馆、书店还是别处都没定。</t>
  </si>
  <si>
    <t>rest</t>
  </si>
  <si>
    <t>找个地方坐坐</t>
  </si>
  <si>
    <t>adjudication-0014</t>
  </si>
  <si>
    <t>review-initial-0119</t>
  </si>
  <si>
    <t>draft-kir-pilot-v2-0156</t>
  </si>
  <si>
    <t>接下来可能做点安静的事，具体内容还没有想法。</t>
  </si>
  <si>
    <t>没有想法</t>
  </si>
  <si>
    <t>adjudication-0015</t>
  </si>
  <si>
    <t>review-initial-0124</t>
  </si>
  <si>
    <t>draft-kir-pilot-v2-0145</t>
  </si>
  <si>
    <t>接下来可以去书店，也可以只在附近走走。</t>
  </si>
  <si>
    <t>可以去书店，也可以只在附近</t>
  </si>
  <si>
    <t>object=室外</t>
  </si>
  <si>
    <t>adjudication-0016</t>
  </si>
  <si>
    <t>target_selection</t>
  </si>
  <si>
    <t>review-initial-0133</t>
  </si>
  <si>
    <t>draft-kir-pilot-v2-0057</t>
  </si>
  <si>
    <t>现在想盖上毯子打个短盹。</t>
  </si>
  <si>
    <t>dine_out</t>
  </si>
  <si>
    <t>打个短盹</t>
  </si>
  <si>
    <t>experience=休息
object=毯子</t>
  </si>
  <si>
    <t>experience=暂停行动并安静休息
object=休息时段</t>
  </si>
  <si>
    <t>likely_reviewer_input_error</t>
  </si>
  <si>
    <t>decision 一致但 target 与上下文及当前 taxonomy 不一致, 优先检查是否为下拉误选。</t>
  </si>
  <si>
    <t>adjudication-0017</t>
  </si>
  <si>
    <t>review-initial-0139</t>
  </si>
  <si>
    <t>draft-kir-pilot-v2-0147</t>
  </si>
  <si>
    <t>现在想出去做点轻松的事，但没想好具体做什么。</t>
  </si>
  <si>
    <t>但没想好具体做什么</t>
  </si>
  <si>
    <t>adjudication-0018</t>
  </si>
  <si>
    <t>agreement_audit</t>
  </si>
  <si>
    <t>review-initial-0123</t>
  </si>
  <si>
    <t>draft-kir-pilot-v2-0076</t>
  </si>
  <si>
    <t>接下来去图书馆的专题展区逛逛。</t>
  </si>
  <si>
    <t>visit_cultural_place</t>
  </si>
  <si>
    <t>去图书馆的专题展区</t>
  </si>
  <si>
    <t>object=展区</t>
  </si>
  <si>
    <t>experience=前往线下文化场所体验
object=线下文化场所</t>
  </si>
  <si>
    <t>confirm_agreement</t>
  </si>
  <si>
    <t>人工标签与草稿的 decision、in-scope target 和 horizon 一致; 用于抽样检查共同偏差。</t>
  </si>
  <si>
    <t>人工与草稿的受控标签一致，保留一致标签。</t>
  </si>
  <si>
    <t>adjudication-0019</t>
  </si>
  <si>
    <t>review-initial-0030</t>
  </si>
  <si>
    <t>draft-kir-pilot-v2-0104</t>
  </si>
  <si>
    <t>刚完成了一次散步。现在拿起吉他练习一首新曲子。</t>
  </si>
  <si>
    <t>拿起吉他练习</t>
  </si>
  <si>
    <t>object=吉他</t>
  </si>
  <si>
    <t>现在拿起吉他练习一首新曲子。</t>
  </si>
  <si>
    <t>experience=现在拿起吉他练习一首新曲子</t>
  </si>
  <si>
    <t>single_turn, far_oos, slot_required, context_distractor</t>
  </si>
  <si>
    <t>adjudication-0020</t>
  </si>
  <si>
    <t>review-initial-0131</t>
  </si>
  <si>
    <t>draft-kir-pilot-v2-0125</t>
  </si>
  <si>
    <t>手机里有很多新帖子，但我暂时不想打开看。</t>
  </si>
  <si>
    <t>有很多新帖子，但我暂时不想打开</t>
  </si>
  <si>
    <t>single_turn, quiet_control, hard_negative, context_control</t>
  </si>
  <si>
    <t>adjudication-0021</t>
  </si>
  <si>
    <t>review-initial-0146</t>
  </si>
  <si>
    <t>draft-kir-pilot-v2-0144</t>
  </si>
  <si>
    <t>刚完成了一次散步。正在考虑下一项活动。</t>
  </si>
  <si>
    <t>Kindred: 我原来想晚点再决定。
User: 以你此刻的决定为准。
Kindred: 想看看别人分享的图片，也可能自己画一张。</t>
  </si>
  <si>
    <t>想看看别人分享的图片，也可能自己画一张</t>
  </si>
  <si>
    <t>想看看别人分享的图片，也可能自己画一张。</t>
  </si>
  <si>
    <t>multi_turn, hard_negative, slot_required, multi_turn_reconsideration, context_distractor</t>
  </si>
  <si>
    <t>play_xiaohongshu, create_picture</t>
  </si>
  <si>
    <t>adjudication-0022</t>
  </si>
  <si>
    <t>review-initial-0160</t>
  </si>
  <si>
    <t>draft-kir-pilot-v2-0035</t>
  </si>
  <si>
    <t>现在看看大家分享的居家布置灵感。</t>
  </si>
  <si>
    <t>看看大家分享</t>
  </si>
  <si>
    <t>object=看看灵感</t>
  </si>
  <si>
    <t>experience=在小红书浏览、公开互动或分享自己的图文
object=小红书内容</t>
  </si>
  <si>
    <t>single_turn, slot_required, brandless_xhs, hypothesized_weak_model_probe</t>
  </si>
  <si>
    <t>adjudication-0023</t>
  </si>
  <si>
    <t>review-initial-0128</t>
  </si>
  <si>
    <t>draft-kir-pilot-v2-0021</t>
  </si>
  <si>
    <t>Kindred: 我原来想晚点再决定。
User: 以你此刻的决定为准。
Kindred: 现在在厨房照着食谱做晚饭吃。</t>
  </si>
  <si>
    <t>在厨房照着食谱做晚饭吃</t>
  </si>
  <si>
    <t>现在在厨房照着食谱做晚饭吃。</t>
  </si>
  <si>
    <t>experience=在当前住处准备或享用食物
object=家中的一餐</t>
  </si>
  <si>
    <t>multi_turn, slot_required, rest_eat_confusion, hypothesized_weak_model_probe, multi_turn_reconsideration</t>
  </si>
  <si>
    <t>adjudication-0024</t>
  </si>
  <si>
    <t>review-initial-0107</t>
  </si>
  <si>
    <t>draft-kir-pilot-v2-0089</t>
  </si>
  <si>
    <t>User: 你前面说了几个可能，现在有唯一选择吗？
Kindred: 现在给一位老同学发一句问候。</t>
  </si>
  <si>
    <t>给一位老同学发一句问候</t>
  </si>
  <si>
    <t>experience=联系老同学
object=老同学</t>
  </si>
  <si>
    <t>现在给一位老同学发一句问候。</t>
  </si>
  <si>
    <t>experience=现在给一位老同学发一句问候</t>
  </si>
  <si>
    <t>multi_turn, near_oos, hard_negative, hypothesized_weak_model_probe, slot_required, multi_turn_resolution</t>
  </si>
  <si>
    <t>reach_out_to_user</t>
  </si>
  <si>
    <t>adjudication-0025</t>
  </si>
  <si>
    <t>review-initial-0060</t>
  </si>
  <si>
    <t>draft-kir-pilot-v2-0108</t>
  </si>
  <si>
    <t>想给阳台上的植物浇水和修剪叶子。</t>
  </si>
  <si>
    <t>给阳台上的植物浇水</t>
  </si>
  <si>
    <t>object=植物</t>
  </si>
  <si>
    <t>experience=想给阳台上的植物浇水和修剪叶子</t>
  </si>
  <si>
    <t>single_turn, far_oos, slot_required</t>
  </si>
  <si>
    <t>adjudication-0026</t>
  </si>
  <si>
    <t>review-initial-0053</t>
  </si>
  <si>
    <t>draft-kir-pilot-v2-0013</t>
  </si>
  <si>
    <t>今晚去那家素食餐厅吃饭。</t>
  </si>
  <si>
    <t>去那家素食餐厅吃饭</t>
  </si>
  <si>
    <t>object=餐厅</t>
  </si>
  <si>
    <t>experience=到外面的餐饮场所吃喝
object=餐饮场所</t>
  </si>
  <si>
    <t>single_turn, slot_required, context_control</t>
  </si>
  <si>
    <t>adjudication-0027</t>
  </si>
  <si>
    <t>review-initial-0113</t>
  </si>
  <si>
    <t>draft-kir-pilot-v2-0034</t>
  </si>
  <si>
    <t>刚完成了一次散步。接下来看看别人公开分享的旅行照片。</t>
  </si>
  <si>
    <t>看看别人公开分享</t>
  </si>
  <si>
    <t>接下来看看别人公开分享的旅行照片。</t>
  </si>
  <si>
    <t>single_turn, slot_required, brandless_xhs, hypothesized_weak_model_probe, context_distractor</t>
  </si>
  <si>
    <t>adjudication-0028</t>
  </si>
  <si>
    <t>review-initial-0014</t>
  </si>
  <si>
    <t>draft-kir-pilot-v2-0120</t>
  </si>
  <si>
    <t>刚完成了一次散步。刚吃完饭有些困，但接下来不准备休息。</t>
  </si>
  <si>
    <t>不准备休息</t>
  </si>
  <si>
    <t>刚吃完饭有些困，但接下来不准备休息。</t>
  </si>
  <si>
    <t>single_turn, quiet_control, hard_negative, context_distractor</t>
  </si>
  <si>
    <t>adjudication-0029</t>
  </si>
  <si>
    <t>review-initial-0132</t>
  </si>
  <si>
    <t>draft-kir-pilot-v2-0133</t>
  </si>
  <si>
    <t>刚刚散步回来，接下来还没想好。</t>
  </si>
  <si>
    <t>还没想好</t>
  </si>
  <si>
    <t>adjudication-0030</t>
  </si>
  <si>
    <t>review-initial-0117</t>
  </si>
  <si>
    <t>draft-kir-pilot-v2-0003</t>
  </si>
  <si>
    <t>Kindred: 上一项活动已经结束了。
User: 不要自动沿用刚才的活动，接下来呢？
Kindred: 接下来把刚才的梦画成一幅新图。</t>
  </si>
  <si>
    <t>画成一幅新图</t>
  </si>
  <si>
    <t>接下来把刚才的梦画成一幅新图。</t>
  </si>
  <si>
    <t>experience=创作新的视觉作品
object=新图片</t>
  </si>
  <si>
    <t>multi_turn, slot_required, multi_turn_recency, context_control</t>
  </si>
  <si>
    <t>adjudication-0031</t>
  </si>
  <si>
    <t>review-initial-0040</t>
  </si>
  <si>
    <t>draft-kir-pilot-v2-0060</t>
  </si>
  <si>
    <t>接下来什么也不做，平躺着歇十五分钟。</t>
  </si>
  <si>
    <t>平躺着歇</t>
  </si>
  <si>
    <t>adjudication-0032</t>
  </si>
  <si>
    <t>review-initial-0024</t>
  </si>
  <si>
    <t>draft-kir-pilot-v2-0016</t>
  </si>
  <si>
    <t>接下来找家茶馆点壶茶和小点心。</t>
  </si>
  <si>
    <t>找家茶馆点壶茶</t>
  </si>
  <si>
    <t>object=茶馆</t>
  </si>
  <si>
    <t>受控标签与 Activity Grounding 证据</t>
  </si>
  <si>
    <t>输入</t>
  </si>
  <si>
    <t>有当前/下一行动倾向？</t>
  </si>
  <si>
    <t>行动唯一且具体？</t>
  </si>
  <si>
    <t>目录能完整承接？</t>
  </si>
  <si>
    <t>decision</t>
  </si>
  <si>
    <t>现在去散步</t>
  </si>
  <si>
    <t>是</t>
  </si>
  <si>
    <t>现在听音乐</t>
  </si>
  <si>
    <t>否</t>
  </si>
  <si>
    <t>现在没有安排</t>
  </si>
  <si>
    <t>—</t>
  </si>
  <si>
    <t>散步或咖啡都行</t>
  </si>
  <si>
    <t>candidate</t>
  </si>
  <si>
    <t>人工盲审</t>
  </si>
  <si>
    <t>grounded 倾向</t>
  </si>
  <si>
    <t>运行时合同证据</t>
  </si>
  <si>
    <t>合同来源</t>
  </si>
  <si>
    <t>仲裁状态</t>
  </si>
  <si>
    <t>in_scope/play_xiaohongshu</t>
  </si>
  <si>
    <t>use_xhs 明确排除 private messages；平台内私信不是公开内容消费或互动。</t>
  </si>
  <si>
    <t>life_assets/actions/use_xhs/SKILL.md</t>
  </si>
  <si>
    <t>待人工确认</t>
  </si>
  <si>
    <t>use_xhs 明确排除 private messages；向博主发私信也不是 reach_out_to_user。</t>
  </si>
  <si>
    <t>in_scope/create_picture</t>
  </si>
  <si>
    <t>create_picture 只使用 draw；核心合同是从具体构思形成新的视觉作品，不含已有图像编辑。</t>
  </si>
  <si>
    <t>life_assets/activities/create_picture/manifest.yaml; life_assets/actions/draw/manifest.yaml</t>
  </si>
  <si>
    <t>比较菜单是唯一、具体的当前行动；输入明确不下单也不吃，因此不是 ambiguous 或 eat_at_home。</t>
  </si>
  <si>
    <t>life_assets/activities/eat_at_home/manifest.yaml; life_assets/actions/eat/manifest.yaml</t>
  </si>
  <si>
    <t>修改已有海报的文字和尺寸不是 draw 合同中的新作品创作。</t>
  </si>
  <si>
    <t>life_assets/activities/create_picture/manifest.yaml; life_assets/actions/draw/SKILL.md</t>
  </si>
  <si>
    <t>in_scope/take_a_walk</t>
  </si>
  <si>
    <t>take_a_walk 的已注册动作是 walk；慢跑不是步行。</t>
  </si>
  <si>
    <t>life_assets/activities/take_a_walk/manifest.yaml; life_assets/actions/walk/manifest.yaml</t>
  </si>
  <si>
    <t>整理食谱是具体当前行动，但输入明确拒绝准备和进食，因此既不是 no_intent 也不是 eat_at_home。</t>
  </si>
  <si>
    <t>life_assets/activities/eat_at_home/manifest.yaml; life_assets/actions/prepare_food/manifest.yaml</t>
  </si>
  <si>
    <t>冻结 Activity Taxonomy</t>
  </si>
  <si>
    <t>intent</t>
  </si>
  <si>
    <t>定义</t>
  </si>
  <si>
    <t>纳入条件</t>
  </si>
  <si>
    <t>排除条件</t>
  </si>
  <si>
    <t>相邻 intents</t>
  </si>
  <si>
    <t>把脑海中已经成形的具体画面绘制或生成成一幅新的本地视觉作品。</t>
  </si>
  <si>
    <t>• 明确想从构思或空白起点创作、绘制或生成一张新图片
• 核心目的是真正形成新的视觉作品，之后是否分享是另一项意图</t>
  </si>
  <si>
    <t>• 只裁剪、调色或修改已有图片，没有形成新视觉作品
• 仅浏览别人发布的图片、帖子或线下展览
• 核心目的是把图文公开分享到小红书</t>
  </si>
  <si>
    <t>play_xiaohongshu, visit_cultural_place</t>
  </si>
  <si>
    <t>以在外面的餐馆、咖啡馆或其他餐饮场所吃喝为主要目的，认真出门享用一餐。</t>
  </si>
  <si>
    <t>• 明确想去外面的餐饮场所吃饭、喝饮品或享用点心
• 换装、步行或乘车只是为外出用餐服务的可选步骤</t>
  </si>
  <si>
    <t>• 在家准备或享用食物
• 去咖啡馆参加活动、去餐馆取物，但明确不吃不喝
• 仅散步且没有用餐目标</t>
  </si>
  <si>
    <t>eat_at_home, take_a_walk</t>
  </si>
  <si>
    <t>以回家或留在家里准备并吃下一顿食物为主要目的。</t>
  </si>
  <si>
    <t>• 明确想在家准备、加热或享用已有食物
• 外卖或回家只是手段，核心目的仍是在家吃这一顿</t>
  </si>
  <si>
    <t>• 去外面的餐饮场所吃喝
• 只整理食谱、比较菜单或处理食物信息，并明确不准备也不吃
• 仅表达饥饿，却没有当前用餐行动倾向</t>
  </si>
  <si>
    <t>dine_out, rest</t>
  </si>
  <si>
    <t>在小红书中浏览、搜索、阅读、克制互动，或把自己的具体生活整理成图文公开分享。</t>
  </si>
  <si>
    <t>• 明确想刷小红书，或浏览陌生人公开分享的生活内容
• 未说平台名，但想浏览、公开互动或公开分享生活图文
• 想搜索帖子、查看作者主页、自己的内容或公开互动通知
• 想对本轮真实看见的帖子进行低频点赞、收藏、评论或回复
• 想创作并公开发布一篇自己的小红书图文</t>
  </si>
  <si>
    <t>• 查看或发送平台私信
• 使用其他社交平台浏览熟人动态或进行私聊
• 只生成本地图片，没有小红书浏览、互动或分享目的
• 主动联系当前用户</t>
  </si>
  <si>
    <t>create_picture, reach_out_to_user, rest</t>
  </si>
  <si>
    <t>因为有一句具体的话想说，主动向当前用户发起消息、问候或分享。</t>
  </si>
  <si>
    <t>• 明确想给当前用户发送一条消息
• 联系当前用户是下一主要行动，即使最终仍可决定不发送</t>
  </si>
  <si>
    <t>• 给朋友、博主或其他第三方发消息
• 只是在心里想念，却没有形成要发送的具体内容或行动
• 浏览或互动公开社交内容</t>
  </si>
  <si>
    <t>play_xiaohongshu, rest</t>
  </si>
  <si>
    <t>身体或精神想停下来恢复，准备闭眼、躺下休息或睡一觉。</t>
  </si>
  <si>
    <t>• 明确想闭眼、躺下、打盹或睡觉来恢复
• 短暂安静休息是主动选择，并以身体恢复为主要目的</t>
  </si>
  <si>
    <t>• 只是疲惫的状态事实，没有休息行动倾向
• 洗澡、认真听音频或进行其他具体放松活动，但没有闭眼休息或睡眠目的
• 在家吃东西或浏览公开内容</t>
  </si>
  <si>
    <t>eat_at_home, play_xiaohongshu, reach_out_to_user</t>
  </si>
  <si>
    <t>没有更主要的目的地任务，以到附近真实地点步行、透气或随意转转为主要体验。</t>
  </si>
  <si>
    <t>• 明确想散步、步行走一圈或出门透气
• 步行过程本身是主要目的，而不是去完成吃饭、参观等任务</t>
  </si>
  <si>
    <t>• 骑车、慢跑或乘车，即使路线和散步相同
• 目的地是餐馆并以吃饭为主
• 目的地是文化场所并以参观或阅读为主</t>
  </si>
  <si>
    <t>dine_out, visit_cultural_place</t>
  </si>
  <si>
    <t>前往真实的博物馆、美术馆、展馆、图书馆或书店，现场观看、阅读或感受空间。</t>
  </si>
  <si>
    <t>• 明确想前往线下文化场所参观、阅读或体验
• 现场文化体验是下一主要行动，步行或乘车只是到达手段</t>
  </si>
  <si>
    <t>• 在家浏览线上展览或文化网页
• 只去文化场所门口取件，不进入观看或阅读
• 只想无目的散步，或在家创作新图片</t>
  </si>
  <si>
    <t>create_picture, take_a_walk</t>
  </si>
  <si>
    <t>adjudication_action</t>
  </si>
  <si>
    <t>target_intent</t>
  </si>
  <si>
    <t>horizon</t>
  </si>
  <si>
    <t>数据与选择合同（请勿修改）</t>
  </si>
  <si>
    <t>workbook_schema_version</t>
  </si>
  <si>
    <t>dataset_id</t>
  </si>
  <si>
    <t>kir-pilot-v2</t>
  </si>
  <si>
    <t>unspecified</t>
  </si>
  <si>
    <t>review_pass</t>
  </si>
  <si>
    <t>initial</t>
  </si>
  <si>
    <t>selection_method</t>
  </si>
  <si>
    <t>hierarchical-disagreements-plus-stratified-agreements-v1</t>
  </si>
  <si>
    <t>candidate_artifact_sha256</t>
  </si>
  <si>
    <t>748b625da46e713bebbf59cc5210d2e409834f9e6fcd17880266c4298ba635d7</t>
  </si>
  <si>
    <t>taxonomy_artifact_sha256</t>
  </si>
  <si>
    <t>fd42196971d47872b236a1f66368b7a186d1a37a10ea03eabec218d5555c6941</t>
  </si>
  <si>
    <t>grounding_version</t>
  </si>
  <si>
    <t>kindred-activity-grounding-v1</t>
  </si>
  <si>
    <t>grounding_artifact_sha256</t>
  </si>
  <si>
    <t>463f68ce0d3b5d23c47173e2d93c0e60b49eca35891117d32908927ee8792eb5</t>
  </si>
  <si>
    <t>response_artifact_sha256</t>
  </si>
  <si>
    <t>a18a5590bcd848b21318dd80e279e0c52e98007c4b2d66b3ba74636e5ff71e91</t>
  </si>
  <si>
    <t>hierarchical_disagreement_count</t>
  </si>
  <si>
    <t>agreement_audit_count</t>
  </si>
  <si>
    <t>item_count</t>
  </si>
  <si>
    <t>status</t>
  </si>
  <si>
    <t>use_xhs先不承接这个私信意图，收益不够明确</t>
    <phoneticPr fontId="14" type="noConversion"/>
  </si>
  <si>
    <t>承接该意图需要图生图能力，目前没这条链路</t>
    <phoneticPr fontId="14" type="noConversion"/>
  </si>
  <si>
    <t>同意草稿观点</t>
    <phoneticPr fontId="14" type="noConversion"/>
  </si>
  <si>
    <t>可以接受walk和慢跑的语义，该标签重点在出门</t>
    <phoneticPr fontId="14" type="noConversion"/>
  </si>
  <si>
    <t>接受草稿观点</t>
    <phoneticPr fontId="14" type="noConversion"/>
  </si>
  <si>
    <t>以后可能做学音乐的标签</t>
    <phoneticPr fontId="14" type="noConversion"/>
  </si>
  <si>
    <r>
      <t>take_a_walk</t>
    </r>
    <r>
      <rPr>
        <sz val="9"/>
        <color rgb="FF1E293B"/>
        <rFont val="Microsoft YaHei"/>
        <family val="2"/>
        <charset val="134"/>
      </rPr>
      <t>重点在出门</t>
    </r>
    <phoneticPr fontId="14" type="noConversion"/>
  </si>
  <si>
    <t>考虑之后新增更多标签来承接类似意图，同意草稿</t>
    <phoneticPr fontId="14" type="noConversion"/>
  </si>
  <si>
    <t>人工操作失误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</si>
</sst>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rlito"/>
    </font>
    <font>
      <b/>
      <sz val="18"/>
      <color rgb="FFFFFFFF"/>
      <name val="Aptos"/>
    </font>
    <font>
      <sz val="11"/>
      <name val="Aptos"/>
    </font>
    <font>
      <b/>
      <sz val="11"/>
      <color rgb="FF17324D"/>
      <name val="Aptos"/>
    </font>
    <font>
      <b/>
      <sz val="12"/>
      <color rgb="FFFFFFFF"/>
      <name val="Aptos"/>
    </font>
    <font>
      <b/>
      <sz val="11"/>
      <color rgb="FF0F766E"/>
      <name val="Aptos"/>
    </font>
    <font>
      <sz val="11"/>
      <color rgb="FF475569"/>
      <name val="Aptos"/>
    </font>
    <font>
      <b/>
      <sz val="10"/>
      <color rgb="FFFFFFFF"/>
      <name val="Carlito"/>
    </font>
    <font>
      <sz val="9"/>
      <color rgb="FF1E293B"/>
      <name val="Aptos"/>
    </font>
    <font>
      <b/>
      <sz val="10"/>
      <color rgb="FF475569"/>
      <name val="Carlito"/>
    </font>
    <font>
      <sz val="9"/>
      <color rgb="FF475569"/>
      <name val="Aptos"/>
    </font>
    <font>
      <b/>
      <sz val="15"/>
      <color rgb="FFFFFFFF"/>
      <name val="Aptos"/>
    </font>
    <font>
      <b/>
      <sz val="11"/>
      <color rgb="FFFFFFFF"/>
      <name val="Aptos"/>
    </font>
    <font>
      <sz val="11"/>
      <name val="Carlito"/>
    </font>
    <font>
      <sz val="9"/>
      <name val="宋体"/>
      <family val="3"/>
      <charset val="134"/>
    </font>
    <font>
      <sz val="9"/>
      <color rgb="FF1E293B"/>
      <name val="Microsoft YaHei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0F8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DDF3EF"/>
      </patternFill>
    </fill>
    <fill>
      <patternFill patternType="solid">
        <fgColor rgb="FFFFF4CC"/>
      </patternFill>
    </fill>
    <fill>
      <patternFill patternType="solid">
        <fgColor rgb="FFF1F5F9"/>
      </patternFill>
    </fill>
    <fill>
      <patternFill patternType="solid">
        <fgColor rgb="FFFFF9E6"/>
      </patternFill>
    </fill>
    <fill>
      <patternFill patternType="solid">
        <fgColor rgb="FFFEE2E2"/>
      </patternFill>
    </fill>
  </fills>
  <borders count="8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13" fillId="0" borderId="0"/>
  </cellStyleXfs>
  <cellXfs count="36">
    <xf numFmtId="0" fontId="0" fillId="0" borderId="0" xfId="0"/>
    <xf numFmtId="0" fontId="2" fillId="0" borderId="0" xfId="1" applyFont="1"/>
    <xf numFmtId="0" fontId="3" fillId="3" borderId="1" xfId="1" applyFont="1" applyFill="1" applyBorder="1"/>
    <xf numFmtId="0" fontId="3" fillId="4" borderId="2" xfId="1" applyFont="1" applyFill="1" applyBorder="1"/>
    <xf numFmtId="0" fontId="3" fillId="3" borderId="3" xfId="1" applyFont="1" applyFill="1" applyBorder="1"/>
    <xf numFmtId="0" fontId="3" fillId="4" borderId="4" xfId="1" applyFont="1" applyFill="1" applyBorder="1"/>
    <xf numFmtId="0" fontId="3" fillId="3" borderId="5" xfId="1" applyFont="1" applyFill="1" applyBorder="1"/>
    <xf numFmtId="0" fontId="3" fillId="4" borderId="6" xfId="1" applyFont="1" applyFill="1" applyBorder="1"/>
    <xf numFmtId="0" fontId="5" fillId="6" borderId="0" xfId="1" applyFont="1" applyFill="1" applyAlignment="1">
      <alignment horizontal="center"/>
    </xf>
    <xf numFmtId="0" fontId="3" fillId="3" borderId="7" xfId="1" applyFont="1" applyFill="1" applyBorder="1" applyAlignment="1">
      <alignment wrapText="1"/>
    </xf>
    <xf numFmtId="0" fontId="2" fillId="0" borderId="7" xfId="1" applyFont="1" applyBorder="1" applyAlignment="1">
      <alignment wrapText="1"/>
    </xf>
    <xf numFmtId="0" fontId="3" fillId="7" borderId="0" xfId="1" applyFont="1" applyFill="1"/>
    <xf numFmtId="0" fontId="7" fillId="2" borderId="0" xfId="1" applyFont="1" applyFill="1" applyAlignment="1">
      <alignment vertical="center" wrapText="1"/>
    </xf>
    <xf numFmtId="0" fontId="8" fillId="0" borderId="0" xfId="1" applyFont="1" applyAlignment="1">
      <alignment vertical="top" wrapText="1"/>
    </xf>
    <xf numFmtId="0" fontId="8" fillId="3" borderId="0" xfId="1" applyFont="1" applyFill="1" applyAlignment="1">
      <alignment vertical="top" wrapText="1"/>
    </xf>
    <xf numFmtId="0" fontId="8" fillId="7" borderId="0" xfId="1" applyFont="1" applyFill="1" applyAlignment="1">
      <alignment vertical="top" wrapText="1"/>
    </xf>
    <xf numFmtId="0" fontId="8" fillId="8" borderId="0" xfId="1" applyFont="1" applyFill="1" applyAlignment="1">
      <alignment vertical="top" wrapText="1"/>
    </xf>
    <xf numFmtId="0" fontId="8" fillId="6" borderId="0" xfId="1" applyFont="1" applyFill="1" applyAlignment="1">
      <alignment vertical="top" wrapText="1"/>
    </xf>
    <xf numFmtId="0" fontId="8" fillId="9" borderId="0" xfId="1" applyFont="1" applyFill="1" applyAlignment="1">
      <alignment vertical="top" wrapText="1"/>
    </xf>
    <xf numFmtId="0" fontId="9" fillId="2" borderId="0" xfId="1" applyFont="1" applyFill="1" applyAlignment="1">
      <alignment vertical="center" wrapText="1"/>
    </xf>
    <xf numFmtId="0" fontId="10" fillId="0" borderId="0" xfId="1" applyFont="1" applyAlignment="1">
      <alignment vertical="top" wrapText="1"/>
    </xf>
    <xf numFmtId="0" fontId="8" fillId="10" borderId="0" xfId="1" applyFont="1" applyFill="1" applyAlignment="1">
      <alignment vertical="top" wrapText="1"/>
    </xf>
    <xf numFmtId="0" fontId="12" fillId="5" borderId="7" xfId="1" applyFont="1" applyFill="1" applyBorder="1"/>
    <xf numFmtId="0" fontId="2" fillId="0" borderId="7" xfId="1" applyFont="1" applyBorder="1"/>
    <xf numFmtId="0" fontId="2" fillId="0" borderId="7" xfId="1" applyFont="1" applyBorder="1" applyAlignment="1">
      <alignment vertical="top" wrapText="1"/>
    </xf>
    <xf numFmtId="0" fontId="2" fillId="4" borderId="7" xfId="1" applyFont="1" applyFill="1" applyBorder="1"/>
    <xf numFmtId="0" fontId="3" fillId="3" borderId="7" xfId="1" applyFont="1" applyFill="1" applyBorder="1"/>
    <xf numFmtId="0" fontId="2" fillId="4" borderId="7" xfId="1" applyFont="1" applyFill="1" applyBorder="1" applyAlignment="1">
      <alignment wrapText="1"/>
    </xf>
    <xf numFmtId="0" fontId="1" fillId="2" borderId="0" xfId="1" applyFont="1" applyFill="1" applyAlignment="1">
      <alignment vertical="center"/>
    </xf>
    <xf numFmtId="0" fontId="4" fillId="5" borderId="0" xfId="1" applyFont="1" applyFill="1"/>
    <xf numFmtId="0" fontId="6" fillId="4" borderId="0" xfId="1" applyFont="1" applyFill="1" applyAlignment="1">
      <alignment wrapText="1"/>
    </xf>
    <xf numFmtId="0" fontId="2" fillId="7" borderId="0" xfId="1" applyFont="1" applyFill="1" applyAlignment="1">
      <alignment wrapText="1"/>
    </xf>
    <xf numFmtId="0" fontId="11" fillId="2" borderId="0" xfId="1" applyFont="1" applyFill="1"/>
    <xf numFmtId="0" fontId="4" fillId="2" borderId="0" xfId="1" applyFont="1" applyFill="1"/>
    <xf numFmtId="0" fontId="12" fillId="2" borderId="7" xfId="1" applyFont="1" applyFill="1" applyBorder="1"/>
    <xf numFmtId="0" fontId="15" fillId="9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3">
    <dxf>
      <font>
        <b/>
        <color rgb="FF991B1B"/>
      </font>
      <fill>
        <patternFill patternType="solid">
          <bgColor rgb="FFFFF4CC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judicationWorkbenchTable" displayName="AdjudicationWorkbenchTable" ref="A1:AC33" totalsRowShown="0">
  <autoFilter ref="A1:AC33" xr:uid="{00000000-0009-0000-0100-000001000000}"/>
  <tableColumns count="29">
    <tableColumn id="1" xr3:uid="{00000000-0010-0000-0000-000001000000}" name="packet_item_id"/>
    <tableColumn id="2" xr3:uid="{00000000-0010-0000-0000-000002000000}" name="sample_kind"/>
    <tableColumn id="3" xr3:uid="{00000000-0010-0000-0000-000003000000}" name="review_focus"/>
    <tableColumn id="4" xr3:uid="{00000000-0010-0000-0000-000004000000}" name="review_item_id"/>
    <tableColumn id="5" xr3:uid="{00000000-0010-0000-0000-000005000000}" name="candidate_id"/>
    <tableColumn id="6" xr3:uid="{00000000-0010-0000-0000-000006000000}" name="state_summary"/>
    <tableColumn id="7" xr3:uid="{00000000-0010-0000-0000-000007000000}" name="conversation"/>
    <tableColumn id="8" xr3:uid="{00000000-0010-0000-0000-000008000000}" name="recent_activities"/>
    <tableColumn id="9" xr3:uid="{00000000-0010-0000-0000-000009000000}" name="人工 decision"/>
    <tableColumn id="10" xr3:uid="{00000000-0010-0000-0000-00000A000000}" name="人工 target"/>
    <tableColumn id="11" xr3:uid="{00000000-0010-0000-0000-00000B000000}" name="人工 horizon"/>
    <tableColumn id="12" xr3:uid="{00000000-0010-0000-0000-00000C000000}" name="人工 evidence"/>
    <tableColumn id="13" xr3:uid="{00000000-0010-0000-0000-00000D000000}" name="人工 slots"/>
    <tableColumn id="14" xr3:uid="{00000000-0010-0000-0000-00000E000000}" name="草稿 decision"/>
    <tableColumn id="15" xr3:uid="{00000000-0010-0000-0000-00000F000000}" name="草稿 target"/>
    <tableColumn id="16" xr3:uid="{00000000-0010-0000-0000-000010000000}" name="草稿 horizon"/>
    <tableColumn id="17" xr3:uid="{00000000-0010-0000-0000-000011000000}" name="草稿 evidence"/>
    <tableColumn id="18" xr3:uid="{00000000-0010-0000-0000-000012000000}" name="草稿 slots"/>
    <tableColumn id="19" xr3:uid="{00000000-0010-0000-0000-000013000000}" name="tags"/>
    <tableColumn id="20" xr3:uid="{00000000-0010-0000-0000-000014000000}" name="hard_negative_against"/>
    <tableColumn id="21" xr3:uid="{00000000-0010-0000-0000-000015000000}" name="建议"/>
    <tableColumn id="22" xr3:uid="{00000000-0010-0000-0000-000016000000}" name="建议依据"/>
    <tableColumn id="23" xr3:uid="{00000000-0010-0000-0000-000017000000}" name="仲裁动作（填写）"/>
    <tableColumn id="24" xr3:uid="{00000000-0010-0000-0000-000018000000}" name="final_decision（填写）"/>
    <tableColumn id="25" xr3:uid="{00000000-0010-0000-0000-000019000000}" name="final_target（填写）"/>
    <tableColumn id="26" xr3:uid="{00000000-0010-0000-0000-00001A000000}" name="final_horizon（填写）"/>
    <tableColumn id="27" xr3:uid="{00000000-0010-0000-0000-00001B000000}" name="仲裁理由（填写）"/>
    <tableColumn id="28" xr3:uid="{00000000-0010-0000-0000-00001C000000}" name="taxonomy 修改说明（如需）"/>
    <tableColumn id="29" xr3:uid="{00000000-0010-0000-0000-00001D000000}" name="status（自动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opLeftCell="A11" workbookViewId="0">
      <selection activeCell="L21" sqref="L21"/>
    </sheetView>
  </sheetViews>
  <sheetFormatPr baseColWidth="10" defaultColWidth="8.83203125" defaultRowHeight="14"/>
  <cols>
    <col min="1" max="1" width="20" customWidth="1"/>
    <col min="2" max="2" width="34" customWidth="1"/>
    <col min="3" max="8" width="15" customWidth="1"/>
  </cols>
  <sheetData>
    <row r="1" spans="1:8" ht="38" customHeight="1">
      <c r="A1" s="28" t="s">
        <v>0</v>
      </c>
      <c r="B1" s="28"/>
      <c r="C1" s="28"/>
      <c r="D1" s="28"/>
      <c r="E1" s="28"/>
      <c r="F1" s="28"/>
      <c r="G1" s="28"/>
      <c r="H1" s="28"/>
    </row>
    <row r="2" spans="1:8" ht="15">
      <c r="A2" s="1"/>
      <c r="B2" s="1"/>
      <c r="C2" s="1"/>
      <c r="D2" s="1"/>
      <c r="E2" s="1"/>
      <c r="F2" s="1"/>
      <c r="G2" s="1"/>
      <c r="H2" s="1"/>
    </row>
    <row r="3" spans="1:8" ht="15">
      <c r="A3" s="2" t="s">
        <v>1</v>
      </c>
      <c r="B3" s="3" t="s">
        <v>2</v>
      </c>
      <c r="C3" s="1"/>
      <c r="D3" s="1"/>
      <c r="E3" s="1"/>
      <c r="F3" s="1"/>
      <c r="G3" s="1"/>
      <c r="H3" s="1"/>
    </row>
    <row r="4" spans="1:8" ht="15">
      <c r="A4" s="4" t="s">
        <v>3</v>
      </c>
      <c r="B4" s="5">
        <f>SUM(仲裁工作台!$AD$2:$AD$33)</f>
        <v>32</v>
      </c>
      <c r="C4" s="1"/>
      <c r="D4" s="1"/>
      <c r="E4" s="1"/>
      <c r="F4" s="1"/>
      <c r="G4" s="1"/>
      <c r="H4" s="1"/>
    </row>
    <row r="5" spans="1:8" ht="15">
      <c r="A5" s="4" t="s">
        <v>4</v>
      </c>
      <c r="B5" s="5">
        <f>SUM(仲裁工作台!$AE$2:$AE$33)</f>
        <v>0</v>
      </c>
      <c r="C5" s="1"/>
      <c r="D5" s="1"/>
      <c r="E5" s="1"/>
      <c r="F5" s="1"/>
      <c r="G5" s="1"/>
      <c r="H5" s="1"/>
    </row>
    <row r="6" spans="1:8" ht="15">
      <c r="A6" s="4" t="s">
        <v>5</v>
      </c>
      <c r="B6" s="5">
        <v>32</v>
      </c>
      <c r="C6" s="1"/>
      <c r="D6" s="1"/>
      <c r="E6" s="1"/>
      <c r="F6" s="1"/>
      <c r="G6" s="1"/>
      <c r="H6" s="1"/>
    </row>
    <row r="7" spans="1:8" ht="15">
      <c r="A7" s="4" t="s">
        <v>6</v>
      </c>
      <c r="B7" s="5">
        <v>17</v>
      </c>
      <c r="C7" s="1"/>
      <c r="D7" s="1"/>
      <c r="E7" s="1"/>
      <c r="F7" s="1"/>
      <c r="G7" s="1"/>
      <c r="H7" s="1"/>
    </row>
    <row r="8" spans="1:8" ht="15">
      <c r="A8" s="4" t="s">
        <v>7</v>
      </c>
      <c r="B8" s="5">
        <v>7</v>
      </c>
      <c r="C8" s="1"/>
      <c r="D8" s="1"/>
      <c r="E8" s="1"/>
      <c r="F8" s="1"/>
      <c r="G8" s="1"/>
      <c r="H8" s="1"/>
    </row>
    <row r="9" spans="1:8" ht="15">
      <c r="A9" s="6" t="s">
        <v>8</v>
      </c>
      <c r="B9" s="7">
        <v>15</v>
      </c>
      <c r="C9" s="1"/>
      <c r="D9" s="1"/>
      <c r="E9" s="1"/>
      <c r="F9" s="1"/>
      <c r="G9" s="1"/>
      <c r="H9" s="1"/>
    </row>
    <row r="10" spans="1:8" ht="15">
      <c r="A10" s="1"/>
      <c r="B10" s="1"/>
      <c r="C10" s="1"/>
      <c r="D10" s="1"/>
      <c r="E10" s="1"/>
      <c r="F10" s="1"/>
      <c r="G10" s="1"/>
      <c r="H10" s="1"/>
    </row>
    <row r="11" spans="1:8" ht="16">
      <c r="A11" s="29" t="s">
        <v>9</v>
      </c>
      <c r="B11" s="29"/>
      <c r="C11" s="29"/>
      <c r="D11" s="29"/>
      <c r="E11" s="29"/>
      <c r="F11" s="29"/>
      <c r="G11" s="29"/>
      <c r="H11" s="29"/>
    </row>
    <row r="12" spans="1:8" ht="38" customHeight="1">
      <c r="A12" s="8" t="s">
        <v>10</v>
      </c>
      <c r="B12" s="30" t="s">
        <v>11</v>
      </c>
      <c r="C12" s="30"/>
      <c r="D12" s="30"/>
      <c r="E12" s="30"/>
      <c r="F12" s="30"/>
      <c r="G12" s="30"/>
      <c r="H12" s="30"/>
    </row>
    <row r="13" spans="1:8" ht="38" customHeight="1">
      <c r="A13" s="8" t="s">
        <v>12</v>
      </c>
      <c r="B13" s="30" t="s">
        <v>13</v>
      </c>
      <c r="C13" s="30"/>
      <c r="D13" s="30"/>
      <c r="E13" s="30"/>
      <c r="F13" s="30"/>
      <c r="G13" s="30"/>
      <c r="H13" s="30"/>
    </row>
    <row r="14" spans="1:8" ht="38" customHeight="1">
      <c r="A14" s="8" t="s">
        <v>14</v>
      </c>
      <c r="B14" s="30" t="s">
        <v>15</v>
      </c>
      <c r="C14" s="30"/>
      <c r="D14" s="30"/>
      <c r="E14" s="30"/>
      <c r="F14" s="30"/>
      <c r="G14" s="30"/>
      <c r="H14" s="30"/>
    </row>
    <row r="15" spans="1:8" ht="38" customHeight="1">
      <c r="A15" s="8" t="s">
        <v>16</v>
      </c>
      <c r="B15" s="30" t="s">
        <v>17</v>
      </c>
      <c r="C15" s="30"/>
      <c r="D15" s="30"/>
      <c r="E15" s="30"/>
      <c r="F15" s="30"/>
      <c r="G15" s="30"/>
      <c r="H15" s="30"/>
    </row>
    <row r="16" spans="1:8" ht="38" customHeight="1">
      <c r="A16" s="8" t="s">
        <v>18</v>
      </c>
      <c r="B16" s="30" t="s">
        <v>19</v>
      </c>
      <c r="C16" s="30"/>
      <c r="D16" s="30"/>
      <c r="E16" s="30"/>
      <c r="F16" s="30"/>
      <c r="G16" s="30"/>
      <c r="H16" s="30"/>
    </row>
    <row r="17" spans="1:8" ht="15">
      <c r="A17" s="1"/>
      <c r="B17" s="1"/>
      <c r="C17" s="1"/>
      <c r="D17" s="1"/>
      <c r="E17" s="1"/>
      <c r="F17" s="1"/>
      <c r="G17" s="1"/>
      <c r="H17" s="1"/>
    </row>
    <row r="18" spans="1:8" ht="16">
      <c r="A18" s="29" t="s">
        <v>20</v>
      </c>
      <c r="B18" s="29"/>
      <c r="C18" s="29"/>
      <c r="D18" s="29"/>
      <c r="E18" s="29"/>
      <c r="F18" s="29"/>
      <c r="G18" s="29"/>
      <c r="H18" s="29"/>
    </row>
    <row r="19" spans="1:8" ht="46" customHeight="1">
      <c r="A19" s="9" t="s">
        <v>21</v>
      </c>
      <c r="B19" s="10" t="s">
        <v>22</v>
      </c>
      <c r="C19" s="1"/>
      <c r="D19" s="1"/>
      <c r="E19" s="1"/>
      <c r="F19" s="1"/>
      <c r="G19" s="1"/>
      <c r="H19" s="1"/>
    </row>
    <row r="20" spans="1:8" ht="46" customHeight="1">
      <c r="A20" s="9" t="s">
        <v>23</v>
      </c>
      <c r="B20" s="10" t="s">
        <v>24</v>
      </c>
      <c r="C20" s="1"/>
      <c r="D20" s="1"/>
      <c r="E20" s="1"/>
      <c r="F20" s="1"/>
      <c r="G20" s="1"/>
      <c r="H20" s="1"/>
    </row>
    <row r="21" spans="1:8" ht="46" customHeight="1">
      <c r="A21" s="9" t="s">
        <v>25</v>
      </c>
      <c r="B21" s="10" t="s">
        <v>26</v>
      </c>
      <c r="C21" s="1"/>
      <c r="D21" s="1"/>
      <c r="E21" s="1"/>
      <c r="F21" s="1"/>
      <c r="G21" s="1"/>
      <c r="H21" s="1"/>
    </row>
    <row r="22" spans="1:8" ht="46" customHeight="1">
      <c r="A22" s="9" t="s">
        <v>27</v>
      </c>
      <c r="B22" s="10" t="s">
        <v>28</v>
      </c>
      <c r="C22" s="1"/>
      <c r="D22" s="1"/>
      <c r="E22" s="1"/>
      <c r="F22" s="1"/>
      <c r="G22" s="1"/>
      <c r="H22" s="1"/>
    </row>
    <row r="23" spans="1:8" ht="46" customHeight="1">
      <c r="A23" s="9" t="s">
        <v>29</v>
      </c>
      <c r="B23" s="10" t="s">
        <v>30</v>
      </c>
      <c r="C23" s="1"/>
      <c r="D23" s="1"/>
      <c r="E23" s="1"/>
      <c r="F23" s="1"/>
      <c r="G23" s="1"/>
      <c r="H23" s="1"/>
    </row>
    <row r="24" spans="1:8" ht="15">
      <c r="A24" s="1"/>
      <c r="B24" s="1"/>
      <c r="C24" s="1"/>
      <c r="D24" s="1"/>
      <c r="E24" s="1"/>
      <c r="F24" s="1"/>
      <c r="G24" s="1"/>
      <c r="H24" s="1"/>
    </row>
    <row r="25" spans="1:8" ht="36" customHeight="1">
      <c r="A25" s="11" t="s">
        <v>31</v>
      </c>
      <c r="B25" s="31" t="s">
        <v>32</v>
      </c>
      <c r="C25" s="31"/>
      <c r="D25" s="31"/>
      <c r="E25" s="31"/>
      <c r="F25" s="31"/>
      <c r="G25" s="31"/>
      <c r="H25" s="31"/>
    </row>
    <row r="26" spans="1:8" ht="36" customHeight="1">
      <c r="A26" s="11" t="s">
        <v>33</v>
      </c>
      <c r="B26" s="31" t="s">
        <v>34</v>
      </c>
      <c r="C26" s="31"/>
      <c r="D26" s="31"/>
      <c r="E26" s="31"/>
      <c r="F26" s="31"/>
      <c r="G26" s="31"/>
      <c r="H26" s="31"/>
    </row>
  </sheetData>
  <mergeCells count="10">
    <mergeCell ref="B15:H15"/>
    <mergeCell ref="B16:H16"/>
    <mergeCell ref="A18:H18"/>
    <mergeCell ref="B25:H25"/>
    <mergeCell ref="B26:H26"/>
    <mergeCell ref="A1:H1"/>
    <mergeCell ref="A11:H11"/>
    <mergeCell ref="B12:H12"/>
    <mergeCell ref="B13:H13"/>
    <mergeCell ref="B14:H14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3"/>
  <sheetViews>
    <sheetView showGridLines="0" tabSelected="1" topLeftCell="G28" workbookViewId="0">
      <selection activeCell="L45" sqref="L45"/>
    </sheetView>
  </sheetViews>
  <sheetFormatPr baseColWidth="10" defaultColWidth="8.83203125" defaultRowHeight="14"/>
  <cols>
    <col min="1" max="1" width="20" customWidth="1"/>
    <col min="2" max="2" width="25" customWidth="1"/>
    <col min="3" max="3" width="28" customWidth="1"/>
    <col min="4" max="5" width="23" customWidth="1"/>
    <col min="6" max="6" width="42" customWidth="1"/>
    <col min="7" max="7" width="58" customWidth="1"/>
    <col min="8" max="8" width="22" customWidth="1"/>
    <col min="9" max="9" width="18" customWidth="1"/>
    <col min="10" max="10" width="24" customWidth="1"/>
    <col min="11" max="11" width="16" customWidth="1"/>
    <col min="12" max="12" width="38" customWidth="1"/>
    <col min="13" max="13" width="28" customWidth="1"/>
    <col min="14" max="14" width="18" customWidth="1"/>
    <col min="15" max="15" width="24" customWidth="1"/>
    <col min="16" max="16" width="16" customWidth="1"/>
    <col min="17" max="17" width="38" customWidth="1"/>
    <col min="18" max="18" width="28" customWidth="1"/>
    <col min="19" max="19" width="34" customWidth="1"/>
    <col min="20" max="20" width="28" customWidth="1"/>
    <col min="21" max="21" width="29" customWidth="1"/>
    <col min="22" max="22" width="46" customWidth="1"/>
    <col min="23" max="23" width="24" customWidth="1"/>
    <col min="24" max="24" width="22" customWidth="1"/>
    <col min="25" max="25" width="24" customWidth="1"/>
    <col min="26" max="26" width="19" customWidth="1"/>
    <col min="27" max="28" width="44" customWidth="1"/>
    <col min="29" max="29" width="26" customWidth="1"/>
    <col min="30" max="31" width="3" customWidth="1"/>
  </cols>
  <sheetData>
    <row r="1" spans="1:31" ht="40" customHeight="1">
      <c r="A1" s="12" t="s">
        <v>35</v>
      </c>
      <c r="B1" s="12" t="s">
        <v>36</v>
      </c>
      <c r="C1" s="12" t="s">
        <v>37</v>
      </c>
      <c r="D1" s="12" t="s">
        <v>38</v>
      </c>
      <c r="E1" s="12" t="s">
        <v>39</v>
      </c>
      <c r="F1" s="12" t="s">
        <v>40</v>
      </c>
      <c r="G1" s="12" t="s">
        <v>41</v>
      </c>
      <c r="H1" s="12" t="s">
        <v>42</v>
      </c>
      <c r="I1" s="12" t="s">
        <v>43</v>
      </c>
      <c r="J1" s="12" t="s">
        <v>44</v>
      </c>
      <c r="K1" s="12" t="s">
        <v>45</v>
      </c>
      <c r="L1" s="12" t="s">
        <v>46</v>
      </c>
      <c r="M1" s="12" t="s">
        <v>47</v>
      </c>
      <c r="N1" s="12" t="s">
        <v>48</v>
      </c>
      <c r="O1" s="12" t="s">
        <v>49</v>
      </c>
      <c r="P1" s="12" t="s">
        <v>50</v>
      </c>
      <c r="Q1" s="12" t="s">
        <v>51</v>
      </c>
      <c r="R1" s="12" t="s">
        <v>52</v>
      </c>
      <c r="S1" s="12" t="s">
        <v>53</v>
      </c>
      <c r="T1" s="12" t="s">
        <v>54</v>
      </c>
      <c r="U1" s="12" t="s">
        <v>55</v>
      </c>
      <c r="V1" s="12" t="s">
        <v>56</v>
      </c>
      <c r="W1" s="12" t="s">
        <v>57</v>
      </c>
      <c r="X1" s="12" t="s">
        <v>58</v>
      </c>
      <c r="Y1" s="12" t="s">
        <v>59</v>
      </c>
      <c r="Z1" s="12" t="s">
        <v>60</v>
      </c>
      <c r="AA1" s="12" t="s">
        <v>61</v>
      </c>
      <c r="AB1" s="12" t="s">
        <v>62</v>
      </c>
      <c r="AC1" s="12" t="s">
        <v>63</v>
      </c>
      <c r="AD1" s="19" t="s">
        <v>64</v>
      </c>
      <c r="AE1" s="19" t="s">
        <v>65</v>
      </c>
    </row>
    <row r="2" spans="1:31" ht="96" customHeight="1">
      <c r="A2" s="13" t="s">
        <v>66</v>
      </c>
      <c r="B2" s="13" t="s">
        <v>67</v>
      </c>
      <c r="C2" s="13" t="s">
        <v>68</v>
      </c>
      <c r="D2" s="13" t="s">
        <v>69</v>
      </c>
      <c r="E2" s="13" t="s">
        <v>70</v>
      </c>
      <c r="F2" s="14" t="s">
        <v>71</v>
      </c>
      <c r="G2" s="14" t="s">
        <v>72</v>
      </c>
      <c r="H2" s="14"/>
      <c r="I2" s="21" t="s">
        <v>73</v>
      </c>
      <c r="J2" s="21" t="s">
        <v>74</v>
      </c>
      <c r="K2" s="15" t="s">
        <v>75</v>
      </c>
      <c r="L2" s="15" t="s">
        <v>76</v>
      </c>
      <c r="M2" s="15" t="s">
        <v>77</v>
      </c>
      <c r="N2" s="21" t="s">
        <v>78</v>
      </c>
      <c r="O2" s="21"/>
      <c r="P2" s="16" t="s">
        <v>75</v>
      </c>
      <c r="Q2" s="16" t="s">
        <v>79</v>
      </c>
      <c r="R2" s="16" t="s">
        <v>80</v>
      </c>
      <c r="S2" s="13" t="s">
        <v>81</v>
      </c>
      <c r="T2" s="13" t="s">
        <v>74</v>
      </c>
      <c r="U2" s="17" t="s">
        <v>82</v>
      </c>
      <c r="V2" s="17" t="s">
        <v>83</v>
      </c>
      <c r="W2" s="18" t="s">
        <v>25</v>
      </c>
      <c r="X2" s="18" t="s">
        <v>78</v>
      </c>
      <c r="Y2" s="18"/>
      <c r="Z2" s="18" t="s">
        <v>75</v>
      </c>
      <c r="AA2" s="35" t="s">
        <v>424</v>
      </c>
      <c r="AB2" s="18"/>
      <c r="AC2" s="16" t="str">
        <f t="shared" ref="AC2:AC33" si="0">IF(W2="","待仲裁",IF(W2="重写或删除样本",IF(AA2="","缺 rationale","完成"),IF(X2="","缺 final_decision",IF(Z2="","缺 final_horizon",IF(AND(X2="in_scope",Y2=""),"缺 final_target",IF(AND(X2&lt;&gt;"in_scope",Y2&lt;&gt;""),"非 in_scope 请清空 target",IF(AA2="","缺 rationale",IF(AND(W2="修改分类规则",AB2=""),"缺 taxonomy 说明","完成"))))))))</f>
        <v>完成</v>
      </c>
      <c r="AD2" s="20">
        <f t="shared" ref="AD2:AD33" si="1">IF(AC2="完成",1,0)</f>
        <v>1</v>
      </c>
      <c r="AE2" s="20">
        <f t="shared" ref="AE2:AE33" si="2">IF(AC2="完成",0,1)</f>
        <v>0</v>
      </c>
    </row>
    <row r="3" spans="1:31" ht="96" customHeight="1">
      <c r="A3" s="13" t="s">
        <v>84</v>
      </c>
      <c r="B3" s="13" t="s">
        <v>67</v>
      </c>
      <c r="C3" s="13" t="s">
        <v>68</v>
      </c>
      <c r="D3" s="13" t="s">
        <v>85</v>
      </c>
      <c r="E3" s="13" t="s">
        <v>86</v>
      </c>
      <c r="F3" s="14" t="s">
        <v>87</v>
      </c>
      <c r="G3" s="14"/>
      <c r="H3" s="14"/>
      <c r="I3" s="21" t="s">
        <v>73</v>
      </c>
      <c r="J3" s="21" t="s">
        <v>74</v>
      </c>
      <c r="K3" s="15" t="s">
        <v>75</v>
      </c>
      <c r="L3" s="15" t="s">
        <v>88</v>
      </c>
      <c r="M3" s="15" t="s">
        <v>89</v>
      </c>
      <c r="N3" s="21" t="s">
        <v>78</v>
      </c>
      <c r="O3" s="21"/>
      <c r="P3" s="16" t="s">
        <v>75</v>
      </c>
      <c r="Q3" s="16" t="s">
        <v>87</v>
      </c>
      <c r="R3" s="16" t="s">
        <v>90</v>
      </c>
      <c r="S3" s="13" t="s">
        <v>91</v>
      </c>
      <c r="T3" s="13" t="s">
        <v>74</v>
      </c>
      <c r="U3" s="17" t="s">
        <v>82</v>
      </c>
      <c r="V3" s="17" t="s">
        <v>92</v>
      </c>
      <c r="W3" s="18" t="s">
        <v>25</v>
      </c>
      <c r="X3" s="18" t="s">
        <v>78</v>
      </c>
      <c r="Y3" s="18"/>
      <c r="Z3" s="18" t="s">
        <v>75</v>
      </c>
      <c r="AA3" s="35" t="s">
        <v>424</v>
      </c>
      <c r="AB3" s="18"/>
      <c r="AC3" s="16" t="str">
        <f t="shared" si="0"/>
        <v>完成</v>
      </c>
      <c r="AD3" s="20">
        <f t="shared" si="1"/>
        <v>1</v>
      </c>
      <c r="AE3" s="20">
        <f t="shared" si="2"/>
        <v>0</v>
      </c>
    </row>
    <row r="4" spans="1:31" ht="96" customHeight="1">
      <c r="A4" s="13" t="s">
        <v>93</v>
      </c>
      <c r="B4" s="13" t="s">
        <v>67</v>
      </c>
      <c r="C4" s="13" t="s">
        <v>68</v>
      </c>
      <c r="D4" s="13" t="s">
        <v>94</v>
      </c>
      <c r="E4" s="13" t="s">
        <v>95</v>
      </c>
      <c r="F4" s="14" t="s">
        <v>71</v>
      </c>
      <c r="G4" s="14" t="s">
        <v>96</v>
      </c>
      <c r="H4" s="14"/>
      <c r="I4" s="21" t="s">
        <v>73</v>
      </c>
      <c r="J4" s="21" t="s">
        <v>97</v>
      </c>
      <c r="K4" s="15" t="s">
        <v>75</v>
      </c>
      <c r="L4" s="15" t="s">
        <v>98</v>
      </c>
      <c r="M4" s="15"/>
      <c r="N4" s="21" t="s">
        <v>78</v>
      </c>
      <c r="O4" s="21"/>
      <c r="P4" s="16" t="s">
        <v>75</v>
      </c>
      <c r="Q4" s="16" t="s">
        <v>99</v>
      </c>
      <c r="R4" s="16" t="s">
        <v>100</v>
      </c>
      <c r="S4" s="13" t="s">
        <v>101</v>
      </c>
      <c r="T4" s="13" t="s">
        <v>97</v>
      </c>
      <c r="U4" s="17" t="s">
        <v>82</v>
      </c>
      <c r="V4" s="17" t="s">
        <v>102</v>
      </c>
      <c r="W4" s="18" t="s">
        <v>25</v>
      </c>
      <c r="X4" s="18" t="s">
        <v>78</v>
      </c>
      <c r="Y4" s="18"/>
      <c r="Z4" s="18" t="s">
        <v>75</v>
      </c>
      <c r="AA4" s="35" t="s">
        <v>425</v>
      </c>
      <c r="AB4" s="18"/>
      <c r="AC4" s="16" t="str">
        <f t="shared" si="0"/>
        <v>完成</v>
      </c>
      <c r="AD4" s="20">
        <f t="shared" si="1"/>
        <v>1</v>
      </c>
      <c r="AE4" s="20">
        <f t="shared" si="2"/>
        <v>0</v>
      </c>
    </row>
    <row r="5" spans="1:31" ht="96" customHeight="1">
      <c r="A5" s="13" t="s">
        <v>103</v>
      </c>
      <c r="B5" s="13" t="s">
        <v>67</v>
      </c>
      <c r="C5" s="13" t="s">
        <v>68</v>
      </c>
      <c r="D5" s="13" t="s">
        <v>104</v>
      </c>
      <c r="E5" s="13" t="s">
        <v>105</v>
      </c>
      <c r="F5" s="14" t="s">
        <v>106</v>
      </c>
      <c r="G5" s="14"/>
      <c r="H5" s="14"/>
      <c r="I5" s="21" t="s">
        <v>107</v>
      </c>
      <c r="J5" s="15"/>
      <c r="K5" s="15" t="s">
        <v>75</v>
      </c>
      <c r="L5" s="15" t="s">
        <v>108</v>
      </c>
      <c r="M5" s="15" t="s">
        <v>109</v>
      </c>
      <c r="N5" s="21" t="s">
        <v>78</v>
      </c>
      <c r="O5" s="16"/>
      <c r="P5" s="16" t="s">
        <v>75</v>
      </c>
      <c r="Q5" s="16" t="s">
        <v>106</v>
      </c>
      <c r="R5" s="16" t="s">
        <v>110</v>
      </c>
      <c r="S5" s="13" t="s">
        <v>91</v>
      </c>
      <c r="T5" s="13" t="s">
        <v>111</v>
      </c>
      <c r="U5" s="17" t="s">
        <v>82</v>
      </c>
      <c r="V5" s="17" t="s">
        <v>112</v>
      </c>
      <c r="W5" s="18" t="s">
        <v>25</v>
      </c>
      <c r="X5" s="18" t="s">
        <v>78</v>
      </c>
      <c r="Y5" s="18"/>
      <c r="Z5" s="18" t="s">
        <v>75</v>
      </c>
      <c r="AA5" s="35" t="s">
        <v>426</v>
      </c>
      <c r="AB5" s="18"/>
      <c r="AC5" s="16" t="str">
        <f t="shared" si="0"/>
        <v>完成</v>
      </c>
      <c r="AD5" s="20">
        <f t="shared" si="1"/>
        <v>1</v>
      </c>
      <c r="AE5" s="20">
        <f t="shared" si="2"/>
        <v>0</v>
      </c>
    </row>
    <row r="6" spans="1:31" ht="96" customHeight="1">
      <c r="A6" s="13" t="s">
        <v>113</v>
      </c>
      <c r="B6" s="13" t="s">
        <v>67</v>
      </c>
      <c r="C6" s="13" t="s">
        <v>68</v>
      </c>
      <c r="D6" s="13" t="s">
        <v>114</v>
      </c>
      <c r="E6" s="13" t="s">
        <v>115</v>
      </c>
      <c r="F6" s="14" t="s">
        <v>116</v>
      </c>
      <c r="G6" s="14"/>
      <c r="H6" s="14"/>
      <c r="I6" s="21" t="s">
        <v>73</v>
      </c>
      <c r="J6" s="21" t="s">
        <v>97</v>
      </c>
      <c r="K6" s="15" t="s">
        <v>75</v>
      </c>
      <c r="L6" s="15" t="s">
        <v>117</v>
      </c>
      <c r="M6" s="15"/>
      <c r="N6" s="21" t="s">
        <v>78</v>
      </c>
      <c r="O6" s="21"/>
      <c r="P6" s="16" t="s">
        <v>75</v>
      </c>
      <c r="Q6" s="16" t="s">
        <v>116</v>
      </c>
      <c r="R6" s="16" t="s">
        <v>118</v>
      </c>
      <c r="S6" s="13" t="s">
        <v>91</v>
      </c>
      <c r="T6" s="13" t="s">
        <v>97</v>
      </c>
      <c r="U6" s="17" t="s">
        <v>82</v>
      </c>
      <c r="V6" s="17" t="s">
        <v>119</v>
      </c>
      <c r="W6" s="18" t="s">
        <v>25</v>
      </c>
      <c r="X6" s="18" t="s">
        <v>78</v>
      </c>
      <c r="Y6" s="18"/>
      <c r="Z6" s="18" t="s">
        <v>75</v>
      </c>
      <c r="AA6" s="35" t="s">
        <v>425</v>
      </c>
      <c r="AB6" s="18"/>
      <c r="AC6" s="16" t="str">
        <f t="shared" si="0"/>
        <v>完成</v>
      </c>
      <c r="AD6" s="20">
        <f t="shared" si="1"/>
        <v>1</v>
      </c>
      <c r="AE6" s="20">
        <f t="shared" si="2"/>
        <v>0</v>
      </c>
    </row>
    <row r="7" spans="1:31" ht="96" customHeight="1">
      <c r="A7" s="13" t="s">
        <v>120</v>
      </c>
      <c r="B7" s="13" t="s">
        <v>67</v>
      </c>
      <c r="C7" s="13" t="s">
        <v>68</v>
      </c>
      <c r="D7" s="13" t="s">
        <v>121</v>
      </c>
      <c r="E7" s="13" t="s">
        <v>122</v>
      </c>
      <c r="F7" s="14" t="s">
        <v>123</v>
      </c>
      <c r="G7" s="14"/>
      <c r="H7" s="14"/>
      <c r="I7" s="21" t="s">
        <v>73</v>
      </c>
      <c r="J7" s="21" t="s">
        <v>124</v>
      </c>
      <c r="K7" s="15" t="s">
        <v>75</v>
      </c>
      <c r="L7" s="15" t="s">
        <v>125</v>
      </c>
      <c r="M7" s="15" t="s">
        <v>126</v>
      </c>
      <c r="N7" s="21" t="s">
        <v>78</v>
      </c>
      <c r="O7" s="21"/>
      <c r="P7" s="16" t="s">
        <v>75</v>
      </c>
      <c r="Q7" s="16" t="s">
        <v>123</v>
      </c>
      <c r="R7" s="16" t="s">
        <v>127</v>
      </c>
      <c r="S7" s="13" t="s">
        <v>91</v>
      </c>
      <c r="T7" s="13" t="s">
        <v>124</v>
      </c>
      <c r="U7" s="17" t="s">
        <v>82</v>
      </c>
      <c r="V7" s="17" t="s">
        <v>128</v>
      </c>
      <c r="W7" s="18" t="s">
        <v>23</v>
      </c>
      <c r="X7" s="18" t="s">
        <v>73</v>
      </c>
      <c r="Y7" s="18" t="s">
        <v>124</v>
      </c>
      <c r="Z7" s="18" t="s">
        <v>75</v>
      </c>
      <c r="AA7" s="35" t="s">
        <v>427</v>
      </c>
      <c r="AB7" s="18"/>
      <c r="AC7" s="16" t="str">
        <f t="shared" si="0"/>
        <v>完成</v>
      </c>
      <c r="AD7" s="20">
        <f t="shared" si="1"/>
        <v>1</v>
      </c>
      <c r="AE7" s="20">
        <f t="shared" si="2"/>
        <v>0</v>
      </c>
    </row>
    <row r="8" spans="1:31" ht="96" customHeight="1">
      <c r="A8" s="13" t="s">
        <v>129</v>
      </c>
      <c r="B8" s="13" t="s">
        <v>67</v>
      </c>
      <c r="C8" s="13" t="s">
        <v>68</v>
      </c>
      <c r="D8" s="13" t="s">
        <v>130</v>
      </c>
      <c r="E8" s="13" t="s">
        <v>131</v>
      </c>
      <c r="F8" s="14" t="s">
        <v>71</v>
      </c>
      <c r="G8" s="14" t="s">
        <v>132</v>
      </c>
      <c r="H8" s="14"/>
      <c r="I8" s="21" t="s">
        <v>133</v>
      </c>
      <c r="J8" s="15"/>
      <c r="K8" s="15" t="s">
        <v>75</v>
      </c>
      <c r="L8" s="15" t="s">
        <v>134</v>
      </c>
      <c r="M8" s="15" t="s">
        <v>135</v>
      </c>
      <c r="N8" s="21" t="s">
        <v>78</v>
      </c>
      <c r="O8" s="16"/>
      <c r="P8" s="16" t="s">
        <v>75</v>
      </c>
      <c r="Q8" s="16" t="s">
        <v>136</v>
      </c>
      <c r="R8" s="16" t="s">
        <v>137</v>
      </c>
      <c r="S8" s="13" t="s">
        <v>138</v>
      </c>
      <c r="T8" s="13" t="s">
        <v>111</v>
      </c>
      <c r="U8" s="17" t="s">
        <v>82</v>
      </c>
      <c r="V8" s="17" t="s">
        <v>139</v>
      </c>
      <c r="W8" s="18" t="s">
        <v>25</v>
      </c>
      <c r="X8" s="18" t="s">
        <v>78</v>
      </c>
      <c r="Y8" s="18"/>
      <c r="Z8" s="18" t="s">
        <v>75</v>
      </c>
      <c r="AA8" s="35" t="s">
        <v>426</v>
      </c>
      <c r="AB8" s="18"/>
      <c r="AC8" s="16" t="str">
        <f t="shared" si="0"/>
        <v>完成</v>
      </c>
      <c r="AD8" s="20">
        <f t="shared" si="1"/>
        <v>1</v>
      </c>
      <c r="AE8" s="20">
        <f t="shared" si="2"/>
        <v>0</v>
      </c>
    </row>
    <row r="9" spans="1:31" ht="96" customHeight="1">
      <c r="A9" s="13" t="s">
        <v>140</v>
      </c>
      <c r="B9" s="13" t="s">
        <v>67</v>
      </c>
      <c r="C9" s="13" t="s">
        <v>141</v>
      </c>
      <c r="D9" s="13" t="s">
        <v>142</v>
      </c>
      <c r="E9" s="13" t="s">
        <v>143</v>
      </c>
      <c r="F9" s="14" t="s">
        <v>144</v>
      </c>
      <c r="G9" s="14"/>
      <c r="H9" s="14"/>
      <c r="I9" s="21" t="s">
        <v>133</v>
      </c>
      <c r="J9" s="15"/>
      <c r="K9" s="15" t="s">
        <v>75</v>
      </c>
      <c r="L9" s="15" t="s">
        <v>145</v>
      </c>
      <c r="M9" s="15"/>
      <c r="N9" s="21" t="s">
        <v>107</v>
      </c>
      <c r="O9" s="16"/>
      <c r="P9" s="16" t="s">
        <v>75</v>
      </c>
      <c r="Q9" s="16" t="s">
        <v>144</v>
      </c>
      <c r="R9" s="16"/>
      <c r="S9" s="13" t="s">
        <v>146</v>
      </c>
      <c r="T9" s="13"/>
      <c r="U9" s="17" t="s">
        <v>147</v>
      </c>
      <c r="V9" s="17" t="s">
        <v>148</v>
      </c>
      <c r="W9" s="18" t="s">
        <v>25</v>
      </c>
      <c r="X9" s="18" t="s">
        <v>107</v>
      </c>
      <c r="Y9" s="18"/>
      <c r="Z9" s="18" t="s">
        <v>75</v>
      </c>
      <c r="AA9" s="35" t="s">
        <v>428</v>
      </c>
      <c r="AB9" s="18"/>
      <c r="AC9" s="16" t="str">
        <f t="shared" si="0"/>
        <v>完成</v>
      </c>
      <c r="AD9" s="20">
        <f t="shared" si="1"/>
        <v>1</v>
      </c>
      <c r="AE9" s="20">
        <f t="shared" si="2"/>
        <v>0</v>
      </c>
    </row>
    <row r="10" spans="1:31" ht="96" customHeight="1">
      <c r="A10" s="13" t="s">
        <v>149</v>
      </c>
      <c r="B10" s="13" t="s">
        <v>67</v>
      </c>
      <c r="C10" s="13" t="s">
        <v>141</v>
      </c>
      <c r="D10" s="13" t="s">
        <v>150</v>
      </c>
      <c r="E10" s="13" t="s">
        <v>151</v>
      </c>
      <c r="F10" s="14" t="s">
        <v>152</v>
      </c>
      <c r="G10" s="14"/>
      <c r="H10" s="14"/>
      <c r="I10" s="21" t="s">
        <v>78</v>
      </c>
      <c r="J10" s="15"/>
      <c r="K10" s="15" t="s">
        <v>153</v>
      </c>
      <c r="L10" s="15" t="s">
        <v>154</v>
      </c>
      <c r="M10" s="15" t="s">
        <v>155</v>
      </c>
      <c r="N10" s="21" t="s">
        <v>133</v>
      </c>
      <c r="O10" s="16"/>
      <c r="P10" s="16" t="s">
        <v>153</v>
      </c>
      <c r="Q10" s="16" t="s">
        <v>152</v>
      </c>
      <c r="R10" s="16"/>
      <c r="S10" s="13" t="s">
        <v>156</v>
      </c>
      <c r="T10" s="13"/>
      <c r="U10" s="17" t="s">
        <v>147</v>
      </c>
      <c r="V10" s="17" t="s">
        <v>148</v>
      </c>
      <c r="W10" s="18" t="s">
        <v>23</v>
      </c>
      <c r="X10" s="18" t="s">
        <v>78</v>
      </c>
      <c r="Y10" s="18"/>
      <c r="Z10" s="18" t="s">
        <v>153</v>
      </c>
      <c r="AA10" s="35" t="s">
        <v>429</v>
      </c>
      <c r="AB10" s="18"/>
      <c r="AC10" s="16" t="str">
        <f t="shared" si="0"/>
        <v>完成</v>
      </c>
      <c r="AD10" s="20">
        <f t="shared" si="1"/>
        <v>1</v>
      </c>
      <c r="AE10" s="20">
        <f t="shared" si="2"/>
        <v>0</v>
      </c>
    </row>
    <row r="11" spans="1:31" ht="96" customHeight="1">
      <c r="A11" s="13" t="s">
        <v>157</v>
      </c>
      <c r="B11" s="13" t="s">
        <v>67</v>
      </c>
      <c r="C11" s="13" t="s">
        <v>141</v>
      </c>
      <c r="D11" s="13" t="s">
        <v>158</v>
      </c>
      <c r="E11" s="13" t="s">
        <v>159</v>
      </c>
      <c r="F11" s="14" t="s">
        <v>160</v>
      </c>
      <c r="G11" s="14"/>
      <c r="H11" s="14"/>
      <c r="I11" s="21" t="s">
        <v>73</v>
      </c>
      <c r="J11" s="21" t="s">
        <v>124</v>
      </c>
      <c r="K11" s="15" t="s">
        <v>75</v>
      </c>
      <c r="L11" s="15" t="s">
        <v>161</v>
      </c>
      <c r="M11" s="15"/>
      <c r="N11" s="21" t="s">
        <v>107</v>
      </c>
      <c r="O11" s="21"/>
      <c r="P11" s="16" t="s">
        <v>75</v>
      </c>
      <c r="Q11" s="16" t="s">
        <v>160</v>
      </c>
      <c r="R11" s="16"/>
      <c r="S11" s="13" t="s">
        <v>162</v>
      </c>
      <c r="T11" s="13"/>
      <c r="U11" s="17" t="s">
        <v>147</v>
      </c>
      <c r="V11" s="17" t="s">
        <v>148</v>
      </c>
      <c r="W11" s="18" t="s">
        <v>23</v>
      </c>
      <c r="X11" s="18" t="s">
        <v>73</v>
      </c>
      <c r="Y11" s="18" t="s">
        <v>124</v>
      </c>
      <c r="Z11" s="18" t="s">
        <v>75</v>
      </c>
      <c r="AA11" s="18" t="s">
        <v>430</v>
      </c>
      <c r="AB11" s="18"/>
      <c r="AC11" s="16" t="str">
        <f t="shared" si="0"/>
        <v>完成</v>
      </c>
      <c r="AD11" s="20">
        <f t="shared" si="1"/>
        <v>1</v>
      </c>
      <c r="AE11" s="20">
        <f t="shared" si="2"/>
        <v>0</v>
      </c>
    </row>
    <row r="12" spans="1:31" ht="96" customHeight="1">
      <c r="A12" s="13" t="s">
        <v>163</v>
      </c>
      <c r="B12" s="13" t="s">
        <v>67</v>
      </c>
      <c r="C12" s="13" t="s">
        <v>141</v>
      </c>
      <c r="D12" s="13" t="s">
        <v>164</v>
      </c>
      <c r="E12" s="13" t="s">
        <v>165</v>
      </c>
      <c r="F12" s="14" t="s">
        <v>166</v>
      </c>
      <c r="G12" s="14"/>
      <c r="H12" s="14"/>
      <c r="I12" s="21" t="s">
        <v>73</v>
      </c>
      <c r="J12" s="21" t="s">
        <v>97</v>
      </c>
      <c r="K12" s="15" t="s">
        <v>75</v>
      </c>
      <c r="L12" s="15" t="s">
        <v>167</v>
      </c>
      <c r="M12" s="15" t="s">
        <v>168</v>
      </c>
      <c r="N12" s="21" t="s">
        <v>107</v>
      </c>
      <c r="O12" s="21"/>
      <c r="P12" s="16" t="s">
        <v>75</v>
      </c>
      <c r="Q12" s="16" t="s">
        <v>166</v>
      </c>
      <c r="R12" s="16"/>
      <c r="S12" s="13" t="s">
        <v>146</v>
      </c>
      <c r="T12" s="13"/>
      <c r="U12" s="17" t="s">
        <v>147</v>
      </c>
      <c r="V12" s="17" t="s">
        <v>148</v>
      </c>
      <c r="W12" s="18" t="s">
        <v>25</v>
      </c>
      <c r="X12" s="18" t="s">
        <v>107</v>
      </c>
      <c r="Y12" s="18"/>
      <c r="Z12" s="18" t="s">
        <v>75</v>
      </c>
      <c r="AA12" s="35" t="s">
        <v>428</v>
      </c>
      <c r="AB12" s="18"/>
      <c r="AC12" s="16" t="str">
        <f t="shared" si="0"/>
        <v>完成</v>
      </c>
      <c r="AD12" s="20">
        <f t="shared" si="1"/>
        <v>1</v>
      </c>
      <c r="AE12" s="20">
        <f t="shared" si="2"/>
        <v>0</v>
      </c>
    </row>
    <row r="13" spans="1:31" ht="96" customHeight="1">
      <c r="A13" s="13" t="s">
        <v>169</v>
      </c>
      <c r="B13" s="13" t="s">
        <v>67</v>
      </c>
      <c r="C13" s="13" t="s">
        <v>141</v>
      </c>
      <c r="D13" s="13" t="s">
        <v>170</v>
      </c>
      <c r="E13" s="13" t="s">
        <v>171</v>
      </c>
      <c r="F13" s="14" t="s">
        <v>172</v>
      </c>
      <c r="G13" s="14"/>
      <c r="H13" s="14"/>
      <c r="I13" s="21" t="s">
        <v>73</v>
      </c>
      <c r="J13" s="21" t="s">
        <v>74</v>
      </c>
      <c r="K13" s="15" t="s">
        <v>75</v>
      </c>
      <c r="L13" s="15" t="s">
        <v>173</v>
      </c>
      <c r="M13" s="15" t="s">
        <v>174</v>
      </c>
      <c r="N13" s="21" t="s">
        <v>107</v>
      </c>
      <c r="O13" s="21"/>
      <c r="P13" s="16" t="s">
        <v>75</v>
      </c>
      <c r="Q13" s="16" t="s">
        <v>172</v>
      </c>
      <c r="R13" s="16"/>
      <c r="S13" s="13" t="s">
        <v>162</v>
      </c>
      <c r="T13" s="13"/>
      <c r="U13" s="17" t="s">
        <v>147</v>
      </c>
      <c r="V13" s="17" t="s">
        <v>148</v>
      </c>
      <c r="W13" s="18" t="s">
        <v>25</v>
      </c>
      <c r="X13" s="18" t="s">
        <v>107</v>
      </c>
      <c r="Y13" s="18"/>
      <c r="Z13" s="18" t="s">
        <v>75</v>
      </c>
      <c r="AA13" s="35" t="s">
        <v>431</v>
      </c>
      <c r="AB13" s="18"/>
      <c r="AC13" s="16" t="str">
        <f t="shared" si="0"/>
        <v>完成</v>
      </c>
      <c r="AD13" s="20">
        <f t="shared" si="1"/>
        <v>1</v>
      </c>
      <c r="AE13" s="20">
        <f t="shared" si="2"/>
        <v>0</v>
      </c>
    </row>
    <row r="14" spans="1:31" ht="96" customHeight="1">
      <c r="A14" s="13" t="s">
        <v>175</v>
      </c>
      <c r="B14" s="13" t="s">
        <v>67</v>
      </c>
      <c r="C14" s="13" t="s">
        <v>141</v>
      </c>
      <c r="D14" s="13" t="s">
        <v>176</v>
      </c>
      <c r="E14" s="13" t="s">
        <v>177</v>
      </c>
      <c r="F14" s="14" t="s">
        <v>178</v>
      </c>
      <c r="G14" s="14"/>
      <c r="H14" s="14"/>
      <c r="I14" s="21" t="s">
        <v>73</v>
      </c>
      <c r="J14" s="21" t="s">
        <v>179</v>
      </c>
      <c r="K14" s="15" t="s">
        <v>75</v>
      </c>
      <c r="L14" s="15" t="s">
        <v>180</v>
      </c>
      <c r="M14" s="15"/>
      <c r="N14" s="21" t="s">
        <v>107</v>
      </c>
      <c r="O14" s="21"/>
      <c r="P14" s="16" t="s">
        <v>75</v>
      </c>
      <c r="Q14" s="16" t="s">
        <v>178</v>
      </c>
      <c r="R14" s="16"/>
      <c r="S14" s="13" t="s">
        <v>146</v>
      </c>
      <c r="T14" s="13"/>
      <c r="U14" s="17" t="s">
        <v>147</v>
      </c>
      <c r="V14" s="17" t="s">
        <v>148</v>
      </c>
      <c r="W14" s="18" t="s">
        <v>25</v>
      </c>
      <c r="X14" s="18" t="s">
        <v>107</v>
      </c>
      <c r="Y14" s="18"/>
      <c r="Z14" s="18" t="s">
        <v>75</v>
      </c>
      <c r="AA14" s="35" t="s">
        <v>428</v>
      </c>
      <c r="AB14" s="18"/>
      <c r="AC14" s="16" t="str">
        <f t="shared" si="0"/>
        <v>完成</v>
      </c>
      <c r="AD14" s="20">
        <f t="shared" si="1"/>
        <v>1</v>
      </c>
      <c r="AE14" s="20">
        <f t="shared" si="2"/>
        <v>0</v>
      </c>
    </row>
    <row r="15" spans="1:31" ht="96" customHeight="1">
      <c r="A15" s="13" t="s">
        <v>181</v>
      </c>
      <c r="B15" s="13" t="s">
        <v>67</v>
      </c>
      <c r="C15" s="13" t="s">
        <v>141</v>
      </c>
      <c r="D15" s="13" t="s">
        <v>182</v>
      </c>
      <c r="E15" s="13" t="s">
        <v>183</v>
      </c>
      <c r="F15" s="14" t="s">
        <v>184</v>
      </c>
      <c r="G15" s="14"/>
      <c r="H15" s="14"/>
      <c r="I15" s="21" t="s">
        <v>133</v>
      </c>
      <c r="J15" s="15"/>
      <c r="K15" s="15" t="s">
        <v>75</v>
      </c>
      <c r="L15" s="15" t="s">
        <v>185</v>
      </c>
      <c r="M15" s="15"/>
      <c r="N15" s="21" t="s">
        <v>107</v>
      </c>
      <c r="O15" s="16"/>
      <c r="P15" s="16" t="s">
        <v>75</v>
      </c>
      <c r="Q15" s="16" t="s">
        <v>184</v>
      </c>
      <c r="R15" s="16"/>
      <c r="S15" s="13" t="s">
        <v>146</v>
      </c>
      <c r="T15" s="13"/>
      <c r="U15" s="17" t="s">
        <v>147</v>
      </c>
      <c r="V15" s="17" t="s">
        <v>148</v>
      </c>
      <c r="W15" s="18" t="s">
        <v>25</v>
      </c>
      <c r="X15" s="18" t="s">
        <v>107</v>
      </c>
      <c r="Y15" s="18"/>
      <c r="Z15" s="18" t="s">
        <v>75</v>
      </c>
      <c r="AA15" s="35" t="s">
        <v>428</v>
      </c>
      <c r="AB15" s="18"/>
      <c r="AC15" s="16" t="str">
        <f t="shared" si="0"/>
        <v>完成</v>
      </c>
      <c r="AD15" s="20">
        <f t="shared" si="1"/>
        <v>1</v>
      </c>
      <c r="AE15" s="20">
        <f t="shared" si="2"/>
        <v>0</v>
      </c>
    </row>
    <row r="16" spans="1:31" ht="96" customHeight="1">
      <c r="A16" s="13" t="s">
        <v>186</v>
      </c>
      <c r="B16" s="13" t="s">
        <v>67</v>
      </c>
      <c r="C16" s="13" t="s">
        <v>141</v>
      </c>
      <c r="D16" s="13" t="s">
        <v>187</v>
      </c>
      <c r="E16" s="13" t="s">
        <v>188</v>
      </c>
      <c r="F16" s="14" t="s">
        <v>189</v>
      </c>
      <c r="G16" s="14"/>
      <c r="H16" s="14"/>
      <c r="I16" s="21" t="s">
        <v>73</v>
      </c>
      <c r="J16" s="21" t="s">
        <v>124</v>
      </c>
      <c r="K16" s="15" t="s">
        <v>75</v>
      </c>
      <c r="L16" s="15" t="s">
        <v>190</v>
      </c>
      <c r="M16" s="15" t="s">
        <v>191</v>
      </c>
      <c r="N16" s="21" t="s">
        <v>107</v>
      </c>
      <c r="O16" s="21"/>
      <c r="P16" s="16" t="s">
        <v>75</v>
      </c>
      <c r="Q16" s="16" t="s">
        <v>189</v>
      </c>
      <c r="R16" s="16"/>
      <c r="S16" s="13" t="s">
        <v>162</v>
      </c>
      <c r="T16" s="13"/>
      <c r="U16" s="17" t="s">
        <v>147</v>
      </c>
      <c r="V16" s="17" t="s">
        <v>148</v>
      </c>
      <c r="W16" s="18" t="s">
        <v>25</v>
      </c>
      <c r="X16" s="18" t="s">
        <v>107</v>
      </c>
      <c r="Y16" s="18"/>
      <c r="Z16" s="18" t="s">
        <v>75</v>
      </c>
      <c r="AA16" s="35" t="s">
        <v>428</v>
      </c>
      <c r="AB16" s="18"/>
      <c r="AC16" s="16" t="str">
        <f t="shared" si="0"/>
        <v>完成</v>
      </c>
      <c r="AD16" s="20">
        <f t="shared" si="1"/>
        <v>1</v>
      </c>
      <c r="AE16" s="20">
        <f t="shared" si="2"/>
        <v>0</v>
      </c>
    </row>
    <row r="17" spans="1:31" ht="96" customHeight="1">
      <c r="A17" s="13" t="s">
        <v>192</v>
      </c>
      <c r="B17" s="13" t="s">
        <v>67</v>
      </c>
      <c r="C17" s="13" t="s">
        <v>193</v>
      </c>
      <c r="D17" s="13" t="s">
        <v>194</v>
      </c>
      <c r="E17" s="13" t="s">
        <v>195</v>
      </c>
      <c r="F17" s="14" t="s">
        <v>196</v>
      </c>
      <c r="G17" s="14"/>
      <c r="H17" s="14"/>
      <c r="I17" s="15" t="s">
        <v>73</v>
      </c>
      <c r="J17" s="21" t="s">
        <v>197</v>
      </c>
      <c r="K17" s="15" t="s">
        <v>75</v>
      </c>
      <c r="L17" s="15" t="s">
        <v>198</v>
      </c>
      <c r="M17" s="15" t="s">
        <v>199</v>
      </c>
      <c r="N17" s="16" t="s">
        <v>73</v>
      </c>
      <c r="O17" s="21" t="s">
        <v>179</v>
      </c>
      <c r="P17" s="16" t="s">
        <v>75</v>
      </c>
      <c r="Q17" s="16" t="s">
        <v>196</v>
      </c>
      <c r="R17" s="16" t="s">
        <v>200</v>
      </c>
      <c r="S17" s="13" t="s">
        <v>162</v>
      </c>
      <c r="T17" s="13"/>
      <c r="U17" s="17" t="s">
        <v>201</v>
      </c>
      <c r="V17" s="17" t="s">
        <v>202</v>
      </c>
      <c r="W17" s="18" t="s">
        <v>25</v>
      </c>
      <c r="X17" s="18" t="s">
        <v>73</v>
      </c>
      <c r="Y17" s="18" t="s">
        <v>179</v>
      </c>
      <c r="Z17" s="18" t="s">
        <v>75</v>
      </c>
      <c r="AA17" s="35" t="s">
        <v>432</v>
      </c>
      <c r="AB17" s="18"/>
      <c r="AC17" s="16" t="str">
        <f t="shared" si="0"/>
        <v>完成</v>
      </c>
      <c r="AD17" s="20">
        <f t="shared" si="1"/>
        <v>1</v>
      </c>
      <c r="AE17" s="20">
        <f t="shared" si="2"/>
        <v>0</v>
      </c>
    </row>
    <row r="18" spans="1:31" ht="96" customHeight="1">
      <c r="A18" s="13" t="s">
        <v>203</v>
      </c>
      <c r="B18" s="13" t="s">
        <v>67</v>
      </c>
      <c r="C18" s="13" t="s">
        <v>141</v>
      </c>
      <c r="D18" s="13" t="s">
        <v>204</v>
      </c>
      <c r="E18" s="13" t="s">
        <v>205</v>
      </c>
      <c r="F18" s="14" t="s">
        <v>206</v>
      </c>
      <c r="G18" s="14"/>
      <c r="H18" s="14"/>
      <c r="I18" s="21" t="s">
        <v>133</v>
      </c>
      <c r="J18" s="15"/>
      <c r="K18" s="15" t="s">
        <v>75</v>
      </c>
      <c r="L18" s="15" t="s">
        <v>207</v>
      </c>
      <c r="M18" s="15"/>
      <c r="N18" s="21" t="s">
        <v>107</v>
      </c>
      <c r="O18" s="16"/>
      <c r="P18" s="16" t="s">
        <v>75</v>
      </c>
      <c r="Q18" s="16" t="s">
        <v>206</v>
      </c>
      <c r="R18" s="16"/>
      <c r="S18" s="13" t="s">
        <v>162</v>
      </c>
      <c r="T18" s="13"/>
      <c r="U18" s="17" t="s">
        <v>147</v>
      </c>
      <c r="V18" s="17" t="s">
        <v>148</v>
      </c>
      <c r="W18" s="18" t="s">
        <v>25</v>
      </c>
      <c r="X18" s="18" t="s">
        <v>107</v>
      </c>
      <c r="Y18" s="18"/>
      <c r="Z18" s="18" t="s">
        <v>75</v>
      </c>
      <c r="AA18" s="35" t="s">
        <v>428</v>
      </c>
      <c r="AB18" s="18"/>
      <c r="AC18" s="16" t="str">
        <f t="shared" si="0"/>
        <v>完成</v>
      </c>
      <c r="AD18" s="20">
        <f t="shared" si="1"/>
        <v>1</v>
      </c>
      <c r="AE18" s="20">
        <f t="shared" si="2"/>
        <v>0</v>
      </c>
    </row>
    <row r="19" spans="1:31" ht="96" customHeight="1">
      <c r="A19" s="13" t="s">
        <v>208</v>
      </c>
      <c r="B19" s="13" t="s">
        <v>209</v>
      </c>
      <c r="C19" s="13" t="s">
        <v>209</v>
      </c>
      <c r="D19" s="13" t="s">
        <v>210</v>
      </c>
      <c r="E19" s="13" t="s">
        <v>211</v>
      </c>
      <c r="F19" s="14" t="s">
        <v>212</v>
      </c>
      <c r="G19" s="14"/>
      <c r="H19" s="14"/>
      <c r="I19" s="15" t="s">
        <v>73</v>
      </c>
      <c r="J19" s="15" t="s">
        <v>213</v>
      </c>
      <c r="K19" s="15" t="s">
        <v>75</v>
      </c>
      <c r="L19" s="15" t="s">
        <v>214</v>
      </c>
      <c r="M19" s="15" t="s">
        <v>215</v>
      </c>
      <c r="N19" s="16" t="s">
        <v>73</v>
      </c>
      <c r="O19" s="16" t="s">
        <v>213</v>
      </c>
      <c r="P19" s="16" t="s">
        <v>75</v>
      </c>
      <c r="Q19" s="16" t="s">
        <v>212</v>
      </c>
      <c r="R19" s="16" t="s">
        <v>216</v>
      </c>
      <c r="S19" s="13" t="s">
        <v>162</v>
      </c>
      <c r="T19" s="13"/>
      <c r="U19" s="17" t="s">
        <v>217</v>
      </c>
      <c r="V19" s="17" t="s">
        <v>218</v>
      </c>
      <c r="W19" s="18" t="s">
        <v>21</v>
      </c>
      <c r="X19" s="18" t="s">
        <v>73</v>
      </c>
      <c r="Y19" s="18" t="s">
        <v>213</v>
      </c>
      <c r="Z19" s="18" t="s">
        <v>75</v>
      </c>
      <c r="AA19" s="18" t="s">
        <v>219</v>
      </c>
      <c r="AB19" s="18"/>
      <c r="AC19" s="16" t="str">
        <f t="shared" si="0"/>
        <v>完成</v>
      </c>
      <c r="AD19" s="20">
        <f t="shared" si="1"/>
        <v>1</v>
      </c>
      <c r="AE19" s="20">
        <f t="shared" si="2"/>
        <v>0</v>
      </c>
    </row>
    <row r="20" spans="1:31" ht="96" customHeight="1">
      <c r="A20" s="13" t="s">
        <v>220</v>
      </c>
      <c r="B20" s="13" t="s">
        <v>209</v>
      </c>
      <c r="C20" s="13" t="s">
        <v>209</v>
      </c>
      <c r="D20" s="13" t="s">
        <v>221</v>
      </c>
      <c r="E20" s="13" t="s">
        <v>222</v>
      </c>
      <c r="F20" s="14" t="s">
        <v>223</v>
      </c>
      <c r="G20" s="14"/>
      <c r="H20" s="14" t="s">
        <v>124</v>
      </c>
      <c r="I20" s="15" t="s">
        <v>78</v>
      </c>
      <c r="J20" s="15"/>
      <c r="K20" s="15" t="s">
        <v>75</v>
      </c>
      <c r="L20" s="15" t="s">
        <v>224</v>
      </c>
      <c r="M20" s="15" t="s">
        <v>225</v>
      </c>
      <c r="N20" s="16" t="s">
        <v>78</v>
      </c>
      <c r="O20" s="16"/>
      <c r="P20" s="16" t="s">
        <v>75</v>
      </c>
      <c r="Q20" s="16" t="s">
        <v>226</v>
      </c>
      <c r="R20" s="16" t="s">
        <v>227</v>
      </c>
      <c r="S20" s="13" t="s">
        <v>228</v>
      </c>
      <c r="T20" s="13"/>
      <c r="U20" s="17" t="s">
        <v>217</v>
      </c>
      <c r="V20" s="17" t="s">
        <v>218</v>
      </c>
      <c r="W20" s="18" t="s">
        <v>21</v>
      </c>
      <c r="X20" s="18" t="s">
        <v>78</v>
      </c>
      <c r="Y20" s="18"/>
      <c r="Z20" s="18" t="s">
        <v>75</v>
      </c>
      <c r="AA20" s="18" t="s">
        <v>219</v>
      </c>
      <c r="AB20" s="18"/>
      <c r="AC20" s="16" t="str">
        <f t="shared" si="0"/>
        <v>完成</v>
      </c>
      <c r="AD20" s="20">
        <f t="shared" si="1"/>
        <v>1</v>
      </c>
      <c r="AE20" s="20">
        <f t="shared" si="2"/>
        <v>0</v>
      </c>
    </row>
    <row r="21" spans="1:31" ht="96" customHeight="1">
      <c r="A21" s="13" t="s">
        <v>229</v>
      </c>
      <c r="B21" s="13" t="s">
        <v>209</v>
      </c>
      <c r="C21" s="13" t="s">
        <v>209</v>
      </c>
      <c r="D21" s="13" t="s">
        <v>230</v>
      </c>
      <c r="E21" s="13" t="s">
        <v>231</v>
      </c>
      <c r="F21" s="14" t="s">
        <v>232</v>
      </c>
      <c r="G21" s="14"/>
      <c r="H21" s="14"/>
      <c r="I21" s="15" t="s">
        <v>133</v>
      </c>
      <c r="J21" s="15"/>
      <c r="K21" s="15" t="s">
        <v>75</v>
      </c>
      <c r="L21" s="15" t="s">
        <v>233</v>
      </c>
      <c r="M21" s="15"/>
      <c r="N21" s="16" t="s">
        <v>133</v>
      </c>
      <c r="O21" s="16"/>
      <c r="P21" s="16" t="s">
        <v>75</v>
      </c>
      <c r="Q21" s="16" t="s">
        <v>232</v>
      </c>
      <c r="R21" s="16"/>
      <c r="S21" s="13" t="s">
        <v>234</v>
      </c>
      <c r="T21" s="13" t="s">
        <v>74</v>
      </c>
      <c r="U21" s="17" t="s">
        <v>217</v>
      </c>
      <c r="V21" s="17" t="s">
        <v>218</v>
      </c>
      <c r="W21" s="18" t="s">
        <v>21</v>
      </c>
      <c r="X21" s="18" t="s">
        <v>133</v>
      </c>
      <c r="Y21" s="18"/>
      <c r="Z21" s="18" t="s">
        <v>75</v>
      </c>
      <c r="AA21" s="18" t="s">
        <v>219</v>
      </c>
      <c r="AB21" s="18"/>
      <c r="AC21" s="16" t="str">
        <f t="shared" si="0"/>
        <v>完成</v>
      </c>
      <c r="AD21" s="20">
        <f t="shared" si="1"/>
        <v>1</v>
      </c>
      <c r="AE21" s="20">
        <f t="shared" si="2"/>
        <v>0</v>
      </c>
    </row>
    <row r="22" spans="1:31" ht="96" customHeight="1">
      <c r="A22" s="13" t="s">
        <v>235</v>
      </c>
      <c r="B22" s="13" t="s">
        <v>209</v>
      </c>
      <c r="C22" s="13" t="s">
        <v>209</v>
      </c>
      <c r="D22" s="13" t="s">
        <v>236</v>
      </c>
      <c r="E22" s="13" t="s">
        <v>237</v>
      </c>
      <c r="F22" s="14" t="s">
        <v>238</v>
      </c>
      <c r="G22" s="14" t="s">
        <v>239</v>
      </c>
      <c r="H22" s="14" t="s">
        <v>124</v>
      </c>
      <c r="I22" s="15" t="s">
        <v>107</v>
      </c>
      <c r="J22" s="15"/>
      <c r="K22" s="15" t="s">
        <v>75</v>
      </c>
      <c r="L22" s="15" t="s">
        <v>240</v>
      </c>
      <c r="M22" s="15"/>
      <c r="N22" s="16" t="s">
        <v>107</v>
      </c>
      <c r="O22" s="16"/>
      <c r="P22" s="16" t="s">
        <v>75</v>
      </c>
      <c r="Q22" s="16" t="s">
        <v>241</v>
      </c>
      <c r="R22" s="16"/>
      <c r="S22" s="13" t="s">
        <v>242</v>
      </c>
      <c r="T22" s="13" t="s">
        <v>243</v>
      </c>
      <c r="U22" s="17" t="s">
        <v>217</v>
      </c>
      <c r="V22" s="17" t="s">
        <v>218</v>
      </c>
      <c r="W22" s="18" t="s">
        <v>21</v>
      </c>
      <c r="X22" s="18" t="s">
        <v>107</v>
      </c>
      <c r="Y22" s="18"/>
      <c r="Z22" s="18" t="s">
        <v>75</v>
      </c>
      <c r="AA22" s="18" t="s">
        <v>219</v>
      </c>
      <c r="AB22" s="18"/>
      <c r="AC22" s="16" t="str">
        <f t="shared" si="0"/>
        <v>完成</v>
      </c>
      <c r="AD22" s="20">
        <f t="shared" si="1"/>
        <v>1</v>
      </c>
      <c r="AE22" s="20">
        <f t="shared" si="2"/>
        <v>0</v>
      </c>
    </row>
    <row r="23" spans="1:31" ht="96" customHeight="1">
      <c r="A23" s="13" t="s">
        <v>244</v>
      </c>
      <c r="B23" s="13" t="s">
        <v>209</v>
      </c>
      <c r="C23" s="13" t="s">
        <v>209</v>
      </c>
      <c r="D23" s="13" t="s">
        <v>245</v>
      </c>
      <c r="E23" s="13" t="s">
        <v>246</v>
      </c>
      <c r="F23" s="14" t="s">
        <v>247</v>
      </c>
      <c r="G23" s="14"/>
      <c r="H23" s="14"/>
      <c r="I23" s="15" t="s">
        <v>73</v>
      </c>
      <c r="J23" s="15" t="s">
        <v>74</v>
      </c>
      <c r="K23" s="15" t="s">
        <v>75</v>
      </c>
      <c r="L23" s="15" t="s">
        <v>248</v>
      </c>
      <c r="M23" s="15" t="s">
        <v>249</v>
      </c>
      <c r="N23" s="16" t="s">
        <v>73</v>
      </c>
      <c r="O23" s="16" t="s">
        <v>74</v>
      </c>
      <c r="P23" s="16" t="s">
        <v>75</v>
      </c>
      <c r="Q23" s="16" t="s">
        <v>247</v>
      </c>
      <c r="R23" s="16" t="s">
        <v>250</v>
      </c>
      <c r="S23" s="13" t="s">
        <v>251</v>
      </c>
      <c r="T23" s="13"/>
      <c r="U23" s="17" t="s">
        <v>217</v>
      </c>
      <c r="V23" s="17" t="s">
        <v>218</v>
      </c>
      <c r="W23" s="18" t="s">
        <v>21</v>
      </c>
      <c r="X23" s="18" t="s">
        <v>73</v>
      </c>
      <c r="Y23" s="18" t="s">
        <v>74</v>
      </c>
      <c r="Z23" s="18" t="s">
        <v>75</v>
      </c>
      <c r="AA23" s="18" t="s">
        <v>219</v>
      </c>
      <c r="AB23" s="18"/>
      <c r="AC23" s="16" t="str">
        <f t="shared" si="0"/>
        <v>完成</v>
      </c>
      <c r="AD23" s="20">
        <f t="shared" si="1"/>
        <v>1</v>
      </c>
      <c r="AE23" s="20">
        <f t="shared" si="2"/>
        <v>0</v>
      </c>
    </row>
    <row r="24" spans="1:31" ht="96" customHeight="1">
      <c r="A24" s="13" t="s">
        <v>252</v>
      </c>
      <c r="B24" s="13" t="s">
        <v>209</v>
      </c>
      <c r="C24" s="13" t="s">
        <v>209</v>
      </c>
      <c r="D24" s="13" t="s">
        <v>253</v>
      </c>
      <c r="E24" s="13" t="s">
        <v>254</v>
      </c>
      <c r="F24" s="14" t="s">
        <v>71</v>
      </c>
      <c r="G24" s="14" t="s">
        <v>255</v>
      </c>
      <c r="H24" s="14"/>
      <c r="I24" s="15" t="s">
        <v>73</v>
      </c>
      <c r="J24" s="15" t="s">
        <v>111</v>
      </c>
      <c r="K24" s="15" t="s">
        <v>75</v>
      </c>
      <c r="L24" s="15" t="s">
        <v>256</v>
      </c>
      <c r="M24" s="15" t="s">
        <v>135</v>
      </c>
      <c r="N24" s="16" t="s">
        <v>73</v>
      </c>
      <c r="O24" s="16" t="s">
        <v>111</v>
      </c>
      <c r="P24" s="16" t="s">
        <v>75</v>
      </c>
      <c r="Q24" s="16" t="s">
        <v>257</v>
      </c>
      <c r="R24" s="16" t="s">
        <v>258</v>
      </c>
      <c r="S24" s="13" t="s">
        <v>259</v>
      </c>
      <c r="T24" s="13"/>
      <c r="U24" s="17" t="s">
        <v>217</v>
      </c>
      <c r="V24" s="17" t="s">
        <v>218</v>
      </c>
      <c r="W24" s="18" t="s">
        <v>21</v>
      </c>
      <c r="X24" s="18" t="s">
        <v>73</v>
      </c>
      <c r="Y24" s="18" t="s">
        <v>111</v>
      </c>
      <c r="Z24" s="18" t="s">
        <v>75</v>
      </c>
      <c r="AA24" s="18" t="s">
        <v>219</v>
      </c>
      <c r="AB24" s="18"/>
      <c r="AC24" s="16" t="str">
        <f t="shared" si="0"/>
        <v>完成</v>
      </c>
      <c r="AD24" s="20">
        <f t="shared" si="1"/>
        <v>1</v>
      </c>
      <c r="AE24" s="20">
        <f t="shared" si="2"/>
        <v>0</v>
      </c>
    </row>
    <row r="25" spans="1:31" ht="96" customHeight="1">
      <c r="A25" s="13" t="s">
        <v>260</v>
      </c>
      <c r="B25" s="13" t="s">
        <v>209</v>
      </c>
      <c r="C25" s="13" t="s">
        <v>209</v>
      </c>
      <c r="D25" s="13" t="s">
        <v>261</v>
      </c>
      <c r="E25" s="13" t="s">
        <v>262</v>
      </c>
      <c r="F25" s="14" t="s">
        <v>71</v>
      </c>
      <c r="G25" s="14" t="s">
        <v>263</v>
      </c>
      <c r="H25" s="14"/>
      <c r="I25" s="15" t="s">
        <v>78</v>
      </c>
      <c r="J25" s="15"/>
      <c r="K25" s="15" t="s">
        <v>75</v>
      </c>
      <c r="L25" s="15" t="s">
        <v>264</v>
      </c>
      <c r="M25" s="15" t="s">
        <v>265</v>
      </c>
      <c r="N25" s="16" t="s">
        <v>78</v>
      </c>
      <c r="O25" s="16"/>
      <c r="P25" s="16" t="s">
        <v>75</v>
      </c>
      <c r="Q25" s="16" t="s">
        <v>266</v>
      </c>
      <c r="R25" s="16" t="s">
        <v>267</v>
      </c>
      <c r="S25" s="13" t="s">
        <v>268</v>
      </c>
      <c r="T25" s="13" t="s">
        <v>269</v>
      </c>
      <c r="U25" s="17" t="s">
        <v>217</v>
      </c>
      <c r="V25" s="17" t="s">
        <v>218</v>
      </c>
      <c r="W25" s="18" t="s">
        <v>21</v>
      </c>
      <c r="X25" s="18" t="s">
        <v>78</v>
      </c>
      <c r="Y25" s="18"/>
      <c r="Z25" s="18" t="s">
        <v>75</v>
      </c>
      <c r="AA25" s="18" t="s">
        <v>219</v>
      </c>
      <c r="AB25" s="18"/>
      <c r="AC25" s="16" t="str">
        <f t="shared" si="0"/>
        <v>完成</v>
      </c>
      <c r="AD25" s="20">
        <f t="shared" si="1"/>
        <v>1</v>
      </c>
      <c r="AE25" s="20">
        <f t="shared" si="2"/>
        <v>0</v>
      </c>
    </row>
    <row r="26" spans="1:31" ht="96" customHeight="1">
      <c r="A26" s="13" t="s">
        <v>270</v>
      </c>
      <c r="B26" s="13" t="s">
        <v>209</v>
      </c>
      <c r="C26" s="13" t="s">
        <v>209</v>
      </c>
      <c r="D26" s="13" t="s">
        <v>271</v>
      </c>
      <c r="E26" s="13" t="s">
        <v>272</v>
      </c>
      <c r="F26" s="14" t="s">
        <v>273</v>
      </c>
      <c r="G26" s="14"/>
      <c r="H26" s="14"/>
      <c r="I26" s="15" t="s">
        <v>78</v>
      </c>
      <c r="J26" s="15"/>
      <c r="K26" s="15" t="s">
        <v>75</v>
      </c>
      <c r="L26" s="15" t="s">
        <v>274</v>
      </c>
      <c r="M26" s="15" t="s">
        <v>275</v>
      </c>
      <c r="N26" s="16" t="s">
        <v>78</v>
      </c>
      <c r="O26" s="16"/>
      <c r="P26" s="16" t="s">
        <v>75</v>
      </c>
      <c r="Q26" s="16" t="s">
        <v>273</v>
      </c>
      <c r="R26" s="16" t="s">
        <v>276</v>
      </c>
      <c r="S26" s="13" t="s">
        <v>277</v>
      </c>
      <c r="T26" s="13"/>
      <c r="U26" s="17" t="s">
        <v>217</v>
      </c>
      <c r="V26" s="17" t="s">
        <v>218</v>
      </c>
      <c r="W26" s="18" t="s">
        <v>21</v>
      </c>
      <c r="X26" s="18" t="s">
        <v>78</v>
      </c>
      <c r="Y26" s="18"/>
      <c r="Z26" s="18" t="s">
        <v>75</v>
      </c>
      <c r="AA26" s="18" t="s">
        <v>219</v>
      </c>
      <c r="AB26" s="18"/>
      <c r="AC26" s="16" t="str">
        <f t="shared" si="0"/>
        <v>完成</v>
      </c>
      <c r="AD26" s="20">
        <f t="shared" si="1"/>
        <v>1</v>
      </c>
      <c r="AE26" s="20">
        <f t="shared" si="2"/>
        <v>0</v>
      </c>
    </row>
    <row r="27" spans="1:31" ht="96" customHeight="1">
      <c r="A27" s="13" t="s">
        <v>278</v>
      </c>
      <c r="B27" s="13" t="s">
        <v>209</v>
      </c>
      <c r="C27" s="13" t="s">
        <v>209</v>
      </c>
      <c r="D27" s="13" t="s">
        <v>279</v>
      </c>
      <c r="E27" s="13" t="s">
        <v>280</v>
      </c>
      <c r="F27" s="14" t="s">
        <v>281</v>
      </c>
      <c r="G27" s="14"/>
      <c r="H27" s="14"/>
      <c r="I27" s="15" t="s">
        <v>73</v>
      </c>
      <c r="J27" s="15" t="s">
        <v>197</v>
      </c>
      <c r="K27" s="15" t="s">
        <v>75</v>
      </c>
      <c r="L27" s="15" t="s">
        <v>282</v>
      </c>
      <c r="M27" s="15" t="s">
        <v>283</v>
      </c>
      <c r="N27" s="16" t="s">
        <v>73</v>
      </c>
      <c r="O27" s="16" t="s">
        <v>197</v>
      </c>
      <c r="P27" s="16" t="s">
        <v>75</v>
      </c>
      <c r="Q27" s="16" t="s">
        <v>281</v>
      </c>
      <c r="R27" s="16" t="s">
        <v>284</v>
      </c>
      <c r="S27" s="13" t="s">
        <v>285</v>
      </c>
      <c r="T27" s="13"/>
      <c r="U27" s="17" t="s">
        <v>217</v>
      </c>
      <c r="V27" s="17" t="s">
        <v>218</v>
      </c>
      <c r="W27" s="18" t="s">
        <v>21</v>
      </c>
      <c r="X27" s="18" t="s">
        <v>73</v>
      </c>
      <c r="Y27" s="18" t="s">
        <v>197</v>
      </c>
      <c r="Z27" s="18" t="s">
        <v>75</v>
      </c>
      <c r="AA27" s="18" t="s">
        <v>219</v>
      </c>
      <c r="AB27" s="18"/>
      <c r="AC27" s="16" t="str">
        <f t="shared" si="0"/>
        <v>完成</v>
      </c>
      <c r="AD27" s="20">
        <f t="shared" si="1"/>
        <v>1</v>
      </c>
      <c r="AE27" s="20">
        <f t="shared" si="2"/>
        <v>0</v>
      </c>
    </row>
    <row r="28" spans="1:31" ht="96" customHeight="1">
      <c r="A28" s="13" t="s">
        <v>286</v>
      </c>
      <c r="B28" s="13" t="s">
        <v>209</v>
      </c>
      <c r="C28" s="13" t="s">
        <v>209</v>
      </c>
      <c r="D28" s="13" t="s">
        <v>287</v>
      </c>
      <c r="E28" s="13" t="s">
        <v>288</v>
      </c>
      <c r="F28" s="14" t="s">
        <v>289</v>
      </c>
      <c r="G28" s="14"/>
      <c r="H28" s="14" t="s">
        <v>124</v>
      </c>
      <c r="I28" s="15" t="s">
        <v>73</v>
      </c>
      <c r="J28" s="15" t="s">
        <v>74</v>
      </c>
      <c r="K28" s="15" t="s">
        <v>75</v>
      </c>
      <c r="L28" s="15" t="s">
        <v>290</v>
      </c>
      <c r="M28" s="15"/>
      <c r="N28" s="16" t="s">
        <v>73</v>
      </c>
      <c r="O28" s="16" t="s">
        <v>74</v>
      </c>
      <c r="P28" s="16" t="s">
        <v>75</v>
      </c>
      <c r="Q28" s="16" t="s">
        <v>291</v>
      </c>
      <c r="R28" s="16" t="s">
        <v>250</v>
      </c>
      <c r="S28" s="13" t="s">
        <v>292</v>
      </c>
      <c r="T28" s="13"/>
      <c r="U28" s="17" t="s">
        <v>217</v>
      </c>
      <c r="V28" s="17" t="s">
        <v>218</v>
      </c>
      <c r="W28" s="18" t="s">
        <v>21</v>
      </c>
      <c r="X28" s="18" t="s">
        <v>73</v>
      </c>
      <c r="Y28" s="18" t="s">
        <v>74</v>
      </c>
      <c r="Z28" s="18" t="s">
        <v>75</v>
      </c>
      <c r="AA28" s="18" t="s">
        <v>219</v>
      </c>
      <c r="AB28" s="18"/>
      <c r="AC28" s="16" t="str">
        <f t="shared" si="0"/>
        <v>完成</v>
      </c>
      <c r="AD28" s="20">
        <f t="shared" si="1"/>
        <v>1</v>
      </c>
      <c r="AE28" s="20">
        <f t="shared" si="2"/>
        <v>0</v>
      </c>
    </row>
    <row r="29" spans="1:31" ht="96" customHeight="1">
      <c r="A29" s="13" t="s">
        <v>293</v>
      </c>
      <c r="B29" s="13" t="s">
        <v>209</v>
      </c>
      <c r="C29" s="13" t="s">
        <v>209</v>
      </c>
      <c r="D29" s="13" t="s">
        <v>294</v>
      </c>
      <c r="E29" s="13" t="s">
        <v>295</v>
      </c>
      <c r="F29" s="14" t="s">
        <v>296</v>
      </c>
      <c r="G29" s="14"/>
      <c r="H29" s="14" t="s">
        <v>124</v>
      </c>
      <c r="I29" s="15" t="s">
        <v>133</v>
      </c>
      <c r="J29" s="15"/>
      <c r="K29" s="15" t="s">
        <v>75</v>
      </c>
      <c r="L29" s="15" t="s">
        <v>297</v>
      </c>
      <c r="M29" s="15"/>
      <c r="N29" s="16" t="s">
        <v>133</v>
      </c>
      <c r="O29" s="16"/>
      <c r="P29" s="16" t="s">
        <v>75</v>
      </c>
      <c r="Q29" s="16" t="s">
        <v>298</v>
      </c>
      <c r="R29" s="16"/>
      <c r="S29" s="13" t="s">
        <v>299</v>
      </c>
      <c r="T29" s="13" t="s">
        <v>179</v>
      </c>
      <c r="U29" s="17" t="s">
        <v>217</v>
      </c>
      <c r="V29" s="17" t="s">
        <v>218</v>
      </c>
      <c r="W29" s="18" t="s">
        <v>21</v>
      </c>
      <c r="X29" s="18" t="s">
        <v>133</v>
      </c>
      <c r="Y29" s="18"/>
      <c r="Z29" s="18" t="s">
        <v>75</v>
      </c>
      <c r="AA29" s="18" t="s">
        <v>219</v>
      </c>
      <c r="AB29" s="18"/>
      <c r="AC29" s="16" t="str">
        <f t="shared" si="0"/>
        <v>完成</v>
      </c>
      <c r="AD29" s="20">
        <f t="shared" si="1"/>
        <v>1</v>
      </c>
      <c r="AE29" s="20">
        <f t="shared" si="2"/>
        <v>0</v>
      </c>
    </row>
    <row r="30" spans="1:31" ht="96" customHeight="1">
      <c r="A30" s="13" t="s">
        <v>300</v>
      </c>
      <c r="B30" s="13" t="s">
        <v>209</v>
      </c>
      <c r="C30" s="13" t="s">
        <v>209</v>
      </c>
      <c r="D30" s="13" t="s">
        <v>301</v>
      </c>
      <c r="E30" s="13" t="s">
        <v>302</v>
      </c>
      <c r="F30" s="14" t="s">
        <v>303</v>
      </c>
      <c r="G30" s="14"/>
      <c r="H30" s="14"/>
      <c r="I30" s="15" t="s">
        <v>133</v>
      </c>
      <c r="J30" s="15"/>
      <c r="K30" s="15" t="s">
        <v>75</v>
      </c>
      <c r="L30" s="15" t="s">
        <v>304</v>
      </c>
      <c r="M30" s="15"/>
      <c r="N30" s="16" t="s">
        <v>133</v>
      </c>
      <c r="O30" s="16"/>
      <c r="P30" s="16" t="s">
        <v>75</v>
      </c>
      <c r="Q30" s="16" t="s">
        <v>303</v>
      </c>
      <c r="R30" s="16"/>
      <c r="S30" s="13" t="s">
        <v>156</v>
      </c>
      <c r="T30" s="13"/>
      <c r="U30" s="17" t="s">
        <v>217</v>
      </c>
      <c r="V30" s="17" t="s">
        <v>218</v>
      </c>
      <c r="W30" s="18" t="s">
        <v>21</v>
      </c>
      <c r="X30" s="18" t="s">
        <v>133</v>
      </c>
      <c r="Y30" s="18"/>
      <c r="Z30" s="18" t="s">
        <v>75</v>
      </c>
      <c r="AA30" s="18" t="s">
        <v>219</v>
      </c>
      <c r="AB30" s="18"/>
      <c r="AC30" s="16" t="str">
        <f t="shared" si="0"/>
        <v>完成</v>
      </c>
      <c r="AD30" s="20">
        <f t="shared" si="1"/>
        <v>1</v>
      </c>
      <c r="AE30" s="20">
        <f t="shared" si="2"/>
        <v>0</v>
      </c>
    </row>
    <row r="31" spans="1:31" ht="96" customHeight="1">
      <c r="A31" s="13" t="s">
        <v>305</v>
      </c>
      <c r="B31" s="13" t="s">
        <v>209</v>
      </c>
      <c r="C31" s="13" t="s">
        <v>209</v>
      </c>
      <c r="D31" s="13" t="s">
        <v>306</v>
      </c>
      <c r="E31" s="13" t="s">
        <v>307</v>
      </c>
      <c r="F31" s="14" t="s">
        <v>71</v>
      </c>
      <c r="G31" s="14" t="s">
        <v>308</v>
      </c>
      <c r="H31" s="14"/>
      <c r="I31" s="15" t="s">
        <v>73</v>
      </c>
      <c r="J31" s="15" t="s">
        <v>97</v>
      </c>
      <c r="K31" s="15" t="s">
        <v>75</v>
      </c>
      <c r="L31" s="15" t="s">
        <v>309</v>
      </c>
      <c r="M31" s="15"/>
      <c r="N31" s="16" t="s">
        <v>73</v>
      </c>
      <c r="O31" s="16" t="s">
        <v>97</v>
      </c>
      <c r="P31" s="16" t="s">
        <v>75</v>
      </c>
      <c r="Q31" s="16" t="s">
        <v>310</v>
      </c>
      <c r="R31" s="16" t="s">
        <v>311</v>
      </c>
      <c r="S31" s="13" t="s">
        <v>312</v>
      </c>
      <c r="T31" s="13"/>
      <c r="U31" s="17" t="s">
        <v>217</v>
      </c>
      <c r="V31" s="17" t="s">
        <v>218</v>
      </c>
      <c r="W31" s="18" t="s">
        <v>21</v>
      </c>
      <c r="X31" s="18" t="s">
        <v>73</v>
      </c>
      <c r="Y31" s="18" t="s">
        <v>97</v>
      </c>
      <c r="Z31" s="18" t="s">
        <v>75</v>
      </c>
      <c r="AA31" s="18" t="s">
        <v>219</v>
      </c>
      <c r="AB31" s="18"/>
      <c r="AC31" s="16" t="str">
        <f t="shared" si="0"/>
        <v>完成</v>
      </c>
      <c r="AD31" s="20">
        <f t="shared" si="1"/>
        <v>1</v>
      </c>
      <c r="AE31" s="20">
        <f t="shared" si="2"/>
        <v>0</v>
      </c>
    </row>
    <row r="32" spans="1:31" ht="96" customHeight="1">
      <c r="A32" s="13" t="s">
        <v>313</v>
      </c>
      <c r="B32" s="13" t="s">
        <v>209</v>
      </c>
      <c r="C32" s="13" t="s">
        <v>209</v>
      </c>
      <c r="D32" s="13" t="s">
        <v>314</v>
      </c>
      <c r="E32" s="13" t="s">
        <v>315</v>
      </c>
      <c r="F32" s="14" t="s">
        <v>316</v>
      </c>
      <c r="G32" s="14"/>
      <c r="H32" s="14"/>
      <c r="I32" s="15" t="s">
        <v>73</v>
      </c>
      <c r="J32" s="15" t="s">
        <v>179</v>
      </c>
      <c r="K32" s="15" t="s">
        <v>75</v>
      </c>
      <c r="L32" s="15" t="s">
        <v>317</v>
      </c>
      <c r="M32" s="15"/>
      <c r="N32" s="16" t="s">
        <v>73</v>
      </c>
      <c r="O32" s="16" t="s">
        <v>179</v>
      </c>
      <c r="P32" s="16" t="s">
        <v>75</v>
      </c>
      <c r="Q32" s="16" t="s">
        <v>316</v>
      </c>
      <c r="R32" s="16" t="s">
        <v>200</v>
      </c>
      <c r="S32" s="13" t="s">
        <v>162</v>
      </c>
      <c r="T32" s="13"/>
      <c r="U32" s="17" t="s">
        <v>217</v>
      </c>
      <c r="V32" s="17" t="s">
        <v>218</v>
      </c>
      <c r="W32" s="18" t="s">
        <v>21</v>
      </c>
      <c r="X32" s="18" t="s">
        <v>73</v>
      </c>
      <c r="Y32" s="18" t="s">
        <v>179</v>
      </c>
      <c r="Z32" s="18" t="s">
        <v>75</v>
      </c>
      <c r="AA32" s="18" t="s">
        <v>219</v>
      </c>
      <c r="AB32" s="18"/>
      <c r="AC32" s="16" t="str">
        <f t="shared" si="0"/>
        <v>完成</v>
      </c>
      <c r="AD32" s="20">
        <f t="shared" si="1"/>
        <v>1</v>
      </c>
      <c r="AE32" s="20">
        <f t="shared" si="2"/>
        <v>0</v>
      </c>
    </row>
    <row r="33" spans="1:31" ht="96" customHeight="1">
      <c r="A33" s="13" t="s">
        <v>318</v>
      </c>
      <c r="B33" s="13" t="s">
        <v>209</v>
      </c>
      <c r="C33" s="13" t="s">
        <v>209</v>
      </c>
      <c r="D33" s="13" t="s">
        <v>319</v>
      </c>
      <c r="E33" s="13" t="s">
        <v>320</v>
      </c>
      <c r="F33" s="14" t="s">
        <v>321</v>
      </c>
      <c r="G33" s="14"/>
      <c r="H33" s="14"/>
      <c r="I33" s="15" t="s">
        <v>73</v>
      </c>
      <c r="J33" s="15" t="s">
        <v>197</v>
      </c>
      <c r="K33" s="15" t="s">
        <v>75</v>
      </c>
      <c r="L33" s="15" t="s">
        <v>322</v>
      </c>
      <c r="M33" s="15" t="s">
        <v>323</v>
      </c>
      <c r="N33" s="16" t="s">
        <v>73</v>
      </c>
      <c r="O33" s="16" t="s">
        <v>197</v>
      </c>
      <c r="P33" s="16" t="s">
        <v>75</v>
      </c>
      <c r="Q33" s="16" t="s">
        <v>321</v>
      </c>
      <c r="R33" s="16" t="s">
        <v>284</v>
      </c>
      <c r="S33" s="13" t="s">
        <v>162</v>
      </c>
      <c r="T33" s="13"/>
      <c r="U33" s="17" t="s">
        <v>217</v>
      </c>
      <c r="V33" s="17" t="s">
        <v>218</v>
      </c>
      <c r="W33" s="18" t="s">
        <v>21</v>
      </c>
      <c r="X33" s="18" t="s">
        <v>73</v>
      </c>
      <c r="Y33" s="18" t="s">
        <v>197</v>
      </c>
      <c r="Z33" s="18" t="s">
        <v>75</v>
      </c>
      <c r="AA33" s="18" t="s">
        <v>219</v>
      </c>
      <c r="AB33" s="18"/>
      <c r="AC33" s="16" t="str">
        <f t="shared" si="0"/>
        <v>完成</v>
      </c>
      <c r="AD33" s="20">
        <f t="shared" si="1"/>
        <v>1</v>
      </c>
      <c r="AE33" s="20">
        <f t="shared" si="2"/>
        <v>0</v>
      </c>
    </row>
  </sheetData>
  <phoneticPr fontId="14" type="noConversion"/>
  <conditionalFormatting sqref="U2:U33">
    <cfRule type="containsText" dxfId="2" priority="3" operator="containsText" text="grounded_oos_recommendation"/>
  </conditionalFormatting>
  <conditionalFormatting sqref="AC2:AC33">
    <cfRule type="containsText" dxfId="1" priority="1" operator="containsText" text="完成"/>
    <cfRule type="notContainsText" dxfId="0" priority="2" operator="notContains" text="完成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选项与元数据!$A$2:$A$6</xm:f>
          </x14:formula1>
          <xm:sqref>W2:W33</xm:sqref>
        </x14:dataValidation>
        <x14:dataValidation type="list" xr:uid="{00000000-0002-0000-0100-000001000000}">
          <x14:formula1>
            <xm:f>选项与元数据!$B$2:$B$5</xm:f>
          </x14:formula1>
          <xm:sqref>X2:X33</xm:sqref>
        </x14:dataValidation>
        <x14:dataValidation type="list" xr:uid="{00000000-0002-0000-0100-000002000000}">
          <x14:formula1>
            <xm:f>选项与元数据!$C$2:$C$9</xm:f>
          </x14:formula1>
          <xm:sqref>Y2:Y33</xm:sqref>
        </x14:dataValidation>
        <x14:dataValidation type="list" xr:uid="{00000000-0002-0000-0100-000003000000}">
          <x14:formula1>
            <xm:f>选项与元数据!$D$2:$D$4</xm:f>
          </x14:formula1>
          <xm:sqref>Z2:Z33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showGridLines="0" workbookViewId="0"/>
  </sheetViews>
  <sheetFormatPr baseColWidth="10" defaultColWidth="8.83203125" defaultRowHeight="14"/>
  <cols>
    <col min="1" max="1" width="26" customWidth="1"/>
    <col min="2" max="2" width="38" customWidth="1"/>
    <col min="3" max="4" width="44" customWidth="1"/>
    <col min="5" max="5" width="32" customWidth="1"/>
    <col min="6" max="6" width="22" customWidth="1"/>
  </cols>
  <sheetData>
    <row r="1" spans="1:6" ht="20">
      <c r="A1" s="32" t="s">
        <v>324</v>
      </c>
      <c r="B1" s="32"/>
      <c r="C1" s="32"/>
      <c r="D1" s="32"/>
      <c r="E1" s="32"/>
      <c r="F1" s="32"/>
    </row>
    <row r="2" spans="1:6" ht="15">
      <c r="A2" s="1"/>
      <c r="B2" s="1"/>
      <c r="C2" s="1"/>
      <c r="D2" s="1"/>
      <c r="E2" s="1"/>
      <c r="F2" s="1"/>
    </row>
    <row r="3" spans="1:6" ht="15">
      <c r="A3" s="22" t="s">
        <v>325</v>
      </c>
      <c r="B3" s="22" t="s">
        <v>326</v>
      </c>
      <c r="C3" s="22" t="s">
        <v>327</v>
      </c>
      <c r="D3" s="22" t="s">
        <v>328</v>
      </c>
      <c r="E3" s="22" t="s">
        <v>329</v>
      </c>
      <c r="F3" s="1"/>
    </row>
    <row r="4" spans="1:6" ht="15">
      <c r="A4" s="23" t="s">
        <v>330</v>
      </c>
      <c r="B4" s="23" t="s">
        <v>331</v>
      </c>
      <c r="C4" s="23" t="s">
        <v>331</v>
      </c>
      <c r="D4" s="23" t="s">
        <v>331</v>
      </c>
      <c r="E4" s="23" t="s">
        <v>73</v>
      </c>
      <c r="F4" s="1"/>
    </row>
    <row r="5" spans="1:6" ht="15">
      <c r="A5" s="23" t="s">
        <v>332</v>
      </c>
      <c r="B5" s="23" t="s">
        <v>331</v>
      </c>
      <c r="C5" s="23" t="s">
        <v>331</v>
      </c>
      <c r="D5" s="23" t="s">
        <v>333</v>
      </c>
      <c r="E5" s="23" t="s">
        <v>78</v>
      </c>
      <c r="F5" s="1"/>
    </row>
    <row r="6" spans="1:6" ht="15">
      <c r="A6" s="23" t="s">
        <v>334</v>
      </c>
      <c r="B6" s="23" t="s">
        <v>333</v>
      </c>
      <c r="C6" s="23" t="s">
        <v>335</v>
      </c>
      <c r="D6" s="23" t="s">
        <v>335</v>
      </c>
      <c r="E6" s="23" t="s">
        <v>133</v>
      </c>
      <c r="F6" s="1"/>
    </row>
    <row r="7" spans="1:6" ht="15">
      <c r="A7" s="23" t="s">
        <v>336</v>
      </c>
      <c r="B7" s="23" t="s">
        <v>331</v>
      </c>
      <c r="C7" s="23" t="s">
        <v>333</v>
      </c>
      <c r="D7" s="23" t="s">
        <v>335</v>
      </c>
      <c r="E7" s="23" t="s">
        <v>107</v>
      </c>
      <c r="F7" s="1"/>
    </row>
    <row r="8" spans="1:6" ht="15">
      <c r="A8" s="1"/>
      <c r="B8" s="1"/>
      <c r="C8" s="1"/>
      <c r="D8" s="1"/>
      <c r="E8" s="1"/>
      <c r="F8" s="1"/>
    </row>
    <row r="9" spans="1:6" ht="15">
      <c r="A9" s="22" t="s">
        <v>337</v>
      </c>
      <c r="B9" s="22" t="s">
        <v>338</v>
      </c>
      <c r="C9" s="22" t="s">
        <v>339</v>
      </c>
      <c r="D9" s="22" t="s">
        <v>340</v>
      </c>
      <c r="E9" s="22" t="s">
        <v>341</v>
      </c>
      <c r="F9" s="22" t="s">
        <v>342</v>
      </c>
    </row>
    <row r="10" spans="1:6" ht="70" customHeight="1">
      <c r="A10" s="24" t="s">
        <v>70</v>
      </c>
      <c r="B10" s="24" t="s">
        <v>343</v>
      </c>
      <c r="C10" s="24" t="s">
        <v>78</v>
      </c>
      <c r="D10" s="24" t="s">
        <v>344</v>
      </c>
      <c r="E10" s="24" t="s">
        <v>345</v>
      </c>
      <c r="F10" s="24" t="s">
        <v>346</v>
      </c>
    </row>
    <row r="11" spans="1:6" ht="70" customHeight="1">
      <c r="A11" s="24" t="s">
        <v>86</v>
      </c>
      <c r="B11" s="24" t="s">
        <v>343</v>
      </c>
      <c r="C11" s="24" t="s">
        <v>78</v>
      </c>
      <c r="D11" s="24" t="s">
        <v>347</v>
      </c>
      <c r="E11" s="24" t="s">
        <v>345</v>
      </c>
      <c r="F11" s="24" t="s">
        <v>346</v>
      </c>
    </row>
    <row r="12" spans="1:6" ht="70" customHeight="1">
      <c r="A12" s="24" t="s">
        <v>95</v>
      </c>
      <c r="B12" s="24" t="s">
        <v>348</v>
      </c>
      <c r="C12" s="24" t="s">
        <v>78</v>
      </c>
      <c r="D12" s="24" t="s">
        <v>349</v>
      </c>
      <c r="E12" s="24" t="s">
        <v>350</v>
      </c>
      <c r="F12" s="24" t="s">
        <v>346</v>
      </c>
    </row>
    <row r="13" spans="1:6" ht="70" customHeight="1">
      <c r="A13" s="24" t="s">
        <v>105</v>
      </c>
      <c r="B13" s="24" t="s">
        <v>107</v>
      </c>
      <c r="C13" s="24" t="s">
        <v>78</v>
      </c>
      <c r="D13" s="24" t="s">
        <v>351</v>
      </c>
      <c r="E13" s="24" t="s">
        <v>352</v>
      </c>
      <c r="F13" s="24" t="s">
        <v>346</v>
      </c>
    </row>
    <row r="14" spans="1:6" ht="70" customHeight="1">
      <c r="A14" s="24" t="s">
        <v>115</v>
      </c>
      <c r="B14" s="24" t="s">
        <v>348</v>
      </c>
      <c r="C14" s="24" t="s">
        <v>78</v>
      </c>
      <c r="D14" s="24" t="s">
        <v>353</v>
      </c>
      <c r="E14" s="24" t="s">
        <v>354</v>
      </c>
      <c r="F14" s="24" t="s">
        <v>346</v>
      </c>
    </row>
    <row r="15" spans="1:6" ht="70" customHeight="1">
      <c r="A15" s="24" t="s">
        <v>122</v>
      </c>
      <c r="B15" s="24" t="s">
        <v>355</v>
      </c>
      <c r="C15" s="24" t="s">
        <v>78</v>
      </c>
      <c r="D15" s="24" t="s">
        <v>356</v>
      </c>
      <c r="E15" s="24" t="s">
        <v>357</v>
      </c>
      <c r="F15" s="24" t="s">
        <v>346</v>
      </c>
    </row>
    <row r="16" spans="1:6" ht="70" customHeight="1">
      <c r="A16" s="24" t="s">
        <v>131</v>
      </c>
      <c r="B16" s="24" t="s">
        <v>133</v>
      </c>
      <c r="C16" s="24" t="s">
        <v>78</v>
      </c>
      <c r="D16" s="24" t="s">
        <v>358</v>
      </c>
      <c r="E16" s="24" t="s">
        <v>359</v>
      </c>
      <c r="F16" s="24" t="s">
        <v>346</v>
      </c>
    </row>
    <row r="17" spans="1:6" ht="15">
      <c r="A17" s="1"/>
      <c r="B17" s="1"/>
      <c r="C17" s="1"/>
      <c r="D17" s="1"/>
      <c r="E17" s="1"/>
      <c r="F17" s="1"/>
    </row>
    <row r="18" spans="1:6" ht="16">
      <c r="A18" s="33" t="s">
        <v>360</v>
      </c>
      <c r="B18" s="33"/>
      <c r="C18" s="33"/>
      <c r="D18" s="33"/>
      <c r="E18" s="33"/>
      <c r="F18" s="33"/>
    </row>
    <row r="19" spans="1:6" ht="15">
      <c r="A19" s="22" t="s">
        <v>361</v>
      </c>
      <c r="B19" s="22" t="s">
        <v>362</v>
      </c>
      <c r="C19" s="22" t="s">
        <v>363</v>
      </c>
      <c r="D19" s="22" t="s">
        <v>364</v>
      </c>
      <c r="E19" s="22" t="s">
        <v>365</v>
      </c>
      <c r="F19" s="1"/>
    </row>
    <row r="20" spans="1:6" ht="76" customHeight="1">
      <c r="A20" s="24" t="s">
        <v>97</v>
      </c>
      <c r="B20" s="24" t="s">
        <v>366</v>
      </c>
      <c r="C20" s="24" t="s">
        <v>367</v>
      </c>
      <c r="D20" s="24" t="s">
        <v>368</v>
      </c>
      <c r="E20" s="24" t="s">
        <v>369</v>
      </c>
      <c r="F20" s="1"/>
    </row>
    <row r="21" spans="1:6" ht="76" customHeight="1">
      <c r="A21" s="24" t="s">
        <v>197</v>
      </c>
      <c r="B21" s="24" t="s">
        <v>370</v>
      </c>
      <c r="C21" s="24" t="s">
        <v>371</v>
      </c>
      <c r="D21" s="24" t="s">
        <v>372</v>
      </c>
      <c r="E21" s="24" t="s">
        <v>373</v>
      </c>
      <c r="F21" s="1"/>
    </row>
    <row r="22" spans="1:6" ht="76" customHeight="1">
      <c r="A22" s="24" t="s">
        <v>111</v>
      </c>
      <c r="B22" s="24" t="s">
        <v>374</v>
      </c>
      <c r="C22" s="24" t="s">
        <v>375</v>
      </c>
      <c r="D22" s="24" t="s">
        <v>376</v>
      </c>
      <c r="E22" s="24" t="s">
        <v>377</v>
      </c>
      <c r="F22" s="1"/>
    </row>
    <row r="23" spans="1:6" ht="76" customHeight="1">
      <c r="A23" s="24" t="s">
        <v>74</v>
      </c>
      <c r="B23" s="24" t="s">
        <v>378</v>
      </c>
      <c r="C23" s="24" t="s">
        <v>379</v>
      </c>
      <c r="D23" s="24" t="s">
        <v>380</v>
      </c>
      <c r="E23" s="24" t="s">
        <v>381</v>
      </c>
      <c r="F23" s="1"/>
    </row>
    <row r="24" spans="1:6" ht="76" customHeight="1">
      <c r="A24" s="24" t="s">
        <v>269</v>
      </c>
      <c r="B24" s="24" t="s">
        <v>382</v>
      </c>
      <c r="C24" s="24" t="s">
        <v>383</v>
      </c>
      <c r="D24" s="24" t="s">
        <v>384</v>
      </c>
      <c r="E24" s="24" t="s">
        <v>385</v>
      </c>
      <c r="F24" s="1"/>
    </row>
    <row r="25" spans="1:6" ht="76" customHeight="1">
      <c r="A25" s="24" t="s">
        <v>179</v>
      </c>
      <c r="B25" s="24" t="s">
        <v>386</v>
      </c>
      <c r="C25" s="24" t="s">
        <v>387</v>
      </c>
      <c r="D25" s="24" t="s">
        <v>388</v>
      </c>
      <c r="E25" s="24" t="s">
        <v>389</v>
      </c>
      <c r="F25" s="1"/>
    </row>
    <row r="26" spans="1:6" ht="76" customHeight="1">
      <c r="A26" s="24" t="s">
        <v>124</v>
      </c>
      <c r="B26" s="24" t="s">
        <v>390</v>
      </c>
      <c r="C26" s="24" t="s">
        <v>391</v>
      </c>
      <c r="D26" s="24" t="s">
        <v>392</v>
      </c>
      <c r="E26" s="24" t="s">
        <v>393</v>
      </c>
      <c r="F26" s="1"/>
    </row>
    <row r="27" spans="1:6" ht="76" customHeight="1">
      <c r="A27" s="24" t="s">
        <v>213</v>
      </c>
      <c r="B27" s="24" t="s">
        <v>394</v>
      </c>
      <c r="C27" s="24" t="s">
        <v>395</v>
      </c>
      <c r="D27" s="24" t="s">
        <v>396</v>
      </c>
      <c r="E27" s="24" t="s">
        <v>397</v>
      </c>
      <c r="F27" s="1"/>
    </row>
  </sheetData>
  <mergeCells count="2">
    <mergeCell ref="A1:F1"/>
    <mergeCell ref="A18:F18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showGridLines="0" workbookViewId="0"/>
  </sheetViews>
  <sheetFormatPr baseColWidth="10" defaultColWidth="8.83203125" defaultRowHeight="14"/>
  <cols>
    <col min="1" max="1" width="28" customWidth="1"/>
    <col min="2" max="2" width="22" customWidth="1"/>
    <col min="3" max="3" width="28" customWidth="1"/>
    <col min="4" max="4" width="18" customWidth="1"/>
    <col min="5" max="5" width="4" customWidth="1"/>
    <col min="6" max="6" width="36" customWidth="1"/>
    <col min="7" max="7" width="76" customWidth="1"/>
  </cols>
  <sheetData>
    <row r="1" spans="1:7" ht="15">
      <c r="A1" s="22" t="s">
        <v>398</v>
      </c>
      <c r="B1" s="22" t="s">
        <v>329</v>
      </c>
      <c r="C1" s="22" t="s">
        <v>399</v>
      </c>
      <c r="D1" s="22" t="s">
        <v>400</v>
      </c>
      <c r="E1" s="1"/>
      <c r="F1" s="34" t="s">
        <v>401</v>
      </c>
      <c r="G1" s="34"/>
    </row>
    <row r="2" spans="1:7" ht="15">
      <c r="A2" s="25" t="s">
        <v>21</v>
      </c>
      <c r="B2" s="25" t="s">
        <v>73</v>
      </c>
      <c r="C2" s="25" t="s">
        <v>97</v>
      </c>
      <c r="D2" s="25" t="s">
        <v>75</v>
      </c>
      <c r="E2" s="1"/>
      <c r="F2" s="26" t="s">
        <v>402</v>
      </c>
      <c r="G2" s="27">
        <v>1</v>
      </c>
    </row>
    <row r="3" spans="1:7" ht="16">
      <c r="A3" s="25" t="s">
        <v>23</v>
      </c>
      <c r="B3" s="25" t="s">
        <v>78</v>
      </c>
      <c r="C3" s="25" t="s">
        <v>197</v>
      </c>
      <c r="D3" s="25" t="s">
        <v>153</v>
      </c>
      <c r="E3" s="1"/>
      <c r="F3" s="26" t="s">
        <v>403</v>
      </c>
      <c r="G3" s="27" t="s">
        <v>404</v>
      </c>
    </row>
    <row r="4" spans="1:7" ht="16">
      <c r="A4" s="25" t="s">
        <v>25</v>
      </c>
      <c r="B4" s="25" t="s">
        <v>133</v>
      </c>
      <c r="C4" s="25" t="s">
        <v>111</v>
      </c>
      <c r="D4" s="25" t="s">
        <v>405</v>
      </c>
      <c r="E4" s="1"/>
      <c r="F4" s="26" t="s">
        <v>406</v>
      </c>
      <c r="G4" s="27" t="s">
        <v>407</v>
      </c>
    </row>
    <row r="5" spans="1:7" ht="16">
      <c r="A5" s="25" t="s">
        <v>27</v>
      </c>
      <c r="B5" s="25" t="s">
        <v>107</v>
      </c>
      <c r="C5" s="25" t="s">
        <v>74</v>
      </c>
      <c r="D5" s="25"/>
      <c r="E5" s="1"/>
      <c r="F5" s="26" t="s">
        <v>408</v>
      </c>
      <c r="G5" s="27" t="s">
        <v>409</v>
      </c>
    </row>
    <row r="6" spans="1:7" ht="16">
      <c r="A6" s="25" t="s">
        <v>29</v>
      </c>
      <c r="B6" s="25"/>
      <c r="C6" s="25" t="s">
        <v>269</v>
      </c>
      <c r="D6" s="25"/>
      <c r="E6" s="1"/>
      <c r="F6" s="26" t="s">
        <v>410</v>
      </c>
      <c r="G6" s="27" t="s">
        <v>411</v>
      </c>
    </row>
    <row r="7" spans="1:7" ht="16">
      <c r="A7" s="25"/>
      <c r="B7" s="25"/>
      <c r="C7" s="25" t="s">
        <v>179</v>
      </c>
      <c r="D7" s="25"/>
      <c r="E7" s="1"/>
      <c r="F7" s="26" t="s">
        <v>412</v>
      </c>
      <c r="G7" s="27" t="s">
        <v>413</v>
      </c>
    </row>
    <row r="8" spans="1:7" ht="16">
      <c r="A8" s="25"/>
      <c r="B8" s="25"/>
      <c r="C8" s="25" t="s">
        <v>124</v>
      </c>
      <c r="D8" s="25"/>
      <c r="E8" s="1"/>
      <c r="F8" s="26" t="s">
        <v>414</v>
      </c>
      <c r="G8" s="27" t="s">
        <v>415</v>
      </c>
    </row>
    <row r="9" spans="1:7" ht="16">
      <c r="A9" s="25"/>
      <c r="B9" s="25"/>
      <c r="C9" s="25" t="s">
        <v>213</v>
      </c>
      <c r="D9" s="25"/>
      <c r="E9" s="1"/>
      <c r="F9" s="26" t="s">
        <v>416</v>
      </c>
      <c r="G9" s="27" t="s">
        <v>417</v>
      </c>
    </row>
    <row r="10" spans="1:7" ht="16">
      <c r="A10" s="1"/>
      <c r="B10" s="1"/>
      <c r="C10" s="1"/>
      <c r="D10" s="1"/>
      <c r="E10" s="1"/>
      <c r="F10" s="26" t="s">
        <v>418</v>
      </c>
      <c r="G10" s="27" t="s">
        <v>419</v>
      </c>
    </row>
    <row r="11" spans="1:7" ht="15">
      <c r="A11" s="1"/>
      <c r="B11" s="1"/>
      <c r="C11" s="1"/>
      <c r="D11" s="1"/>
      <c r="E11" s="1"/>
      <c r="F11" s="26" t="s">
        <v>420</v>
      </c>
      <c r="G11" s="27">
        <v>17</v>
      </c>
    </row>
    <row r="12" spans="1:7" ht="15">
      <c r="A12" s="1"/>
      <c r="B12" s="1"/>
      <c r="C12" s="1"/>
      <c r="D12" s="1"/>
      <c r="E12" s="1"/>
      <c r="F12" s="26" t="s">
        <v>421</v>
      </c>
      <c r="G12" s="27">
        <v>15</v>
      </c>
    </row>
    <row r="13" spans="1:7" ht="15">
      <c r="A13" s="1"/>
      <c r="B13" s="1"/>
      <c r="C13" s="1"/>
      <c r="D13" s="1"/>
      <c r="E13" s="1"/>
      <c r="F13" s="26" t="s">
        <v>422</v>
      </c>
      <c r="G13" s="27">
        <v>32</v>
      </c>
    </row>
    <row r="14" spans="1:7" ht="16">
      <c r="A14" s="1"/>
      <c r="B14" s="1"/>
      <c r="C14" s="1"/>
      <c r="D14" s="1"/>
      <c r="E14" s="1"/>
      <c r="F14" s="26" t="s">
        <v>423</v>
      </c>
      <c r="G14" s="27" t="s">
        <v>2</v>
      </c>
    </row>
  </sheetData>
  <mergeCells count="1">
    <mergeCell ref="F1:G1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仲裁说明</vt:lpstr>
      <vt:lpstr>仲裁工作台</vt:lpstr>
      <vt:lpstr>规则依据</vt:lpstr>
      <vt:lpstr>选项与元数据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T182853</cp:lastModifiedBy>
  <dcterms:modified xsi:type="dcterms:W3CDTF">2026-08-22T08:07:04Z</dcterms:modified>
</cp:coreProperties>
</file>