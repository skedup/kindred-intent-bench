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6a21f343e94c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84b59d86e6a34a98"/>
    <x:sheet xmlns:r="http://schemas.openxmlformats.org/officeDocument/2006/relationships" name="Audit" sheetId="2" r:id="R6a124aca762a4144"/>
    <x:sheet xmlns:r="http://schemas.openxmlformats.org/officeDocument/2006/relationships" name="Rubric" sheetId="3" r:id="R3b759df6e62a485e"/>
    <x:sheet xmlns:r="http://schemas.openxmlformats.org/officeDocument/2006/relationships" name="Options" sheetId="4" r:id="R80a4c468308942b4"/>
  </x:sheets>
</x:workbook>
</file>

<file path=xl/sharedStrings.xml><?xml version="1.0" encoding="utf-8"?>
<x:sst xmlns:x="http://schemas.openxmlformats.org/spreadsheetml/2006/main">
  <x:si>
    <x:t xml:space="preserve">Kindred IE4 · Semantic Preservation Audit</x:t>
  </x:si>
  <x:si>
    <x:t xml:space="preserve">审计目标</x:t>
  </x:si>
  <x:si>
    <x:t xml:space="preserve">完成进度</x:t>
  </x:si>
  <x:si>
    <x:t xml:space="preserve">1. 只判断原始上下文中的语义是否被 B3 阶段 A 保留；不判断最终 Activity 路由是否正确。</x:t>
  </x:si>
  <x:si>
    <x:t xml:space="preserve">总行数</x:t>
  </x:si>
  <x:si>
    <x:t xml:space="preserve">2. 逐行填写 action / object / horizon 三项：preserved、partial 或 lost。允许同义改写。</x:t>
  </x:si>
  <x:si>
    <x:t xml:space="preserve">已完成</x:t>
  </x:si>
  <x:si>
    <x:t xml:space="preserve">3. 若任一项为 partial/lost，reviewer_note 必填并说明丢失、弱化、矛盾或发明了什么。</x:t>
  </x:si>
  <x:si>
    <x:t xml:space="preserve">待完成</x:t>
  </x:si>
  <x:si>
    <x:t xml:space="preserve">4. Stage A 失败且没有 formed intention 时，三项均标 lost，并在备注写 stage_a_provider_failure。</x:t>
  </x:si>
  <x:si>
    <x:t xml:space="preserve">完成率</x:t>
  </x:si>
  <x:si>
    <x:t xml:space="preserve">Stage A 失败</x:t>
  </x:si>
  <x:si>
    <x:t xml:space="preserve">填写人信息（只填蓝色单元格）</x:t>
  </x:si>
  <x:si>
    <x:t xml:space="preserve">Reviewer ID</x:t>
  </x:si>
  <x:si>
    <x:t xml:space="preserve">skedushwang</x:t>
  </x:si>
  <x:si>
    <x:t xml:space="preserve">字段</x:t>
  </x:si>
  <x:si>
    <x:t xml:space="preserve">preserved</x:t>
  </x:si>
  <x:si>
    <x:t xml:space="preserve">partial / lost</x:t>
  </x:si>
  <x:si>
    <x:t xml:space="preserve">Reviewed at</x:t>
  </x:si>
  <x:si>
    <x:t xml:space="preserve">action</x:t>
  </x:si>
  <x:si>
    <x:t xml:space="preserve">object</x:t>
  </x:si>
  <x:si>
    <x:t xml:space="preserve">horizon</x:t>
  </x:si>
  <x:si>
    <x:t xml:space="preserve">完成标准</x:t>
  </x:si>
  <x:si>
    <x:t xml:space="preserve">• Audit 表 48 行的三项 rating 都已填写。</x:t>
  </x:si>
  <x:si>
    <x:t xml:space="preserve">• 任何 partial/lost 行都有 reviewer_note；Reviewer ID 与 Reviewed at 已填写。</x:t>
  </x:si>
  <x:si>
    <x:t xml:space="preserve">• Guide 的待完成数为 0、完成率为 100% 后保存原文件并交回。</x:t>
  </x:si>
  <x:si>
    <x:t xml:space="preserve">• 不要修改灰色来源列、case 顺序或模型输出；该审计不用于调 Prompt 或修改 verdict。</x:t>
  </x:si>
  <x:si>
    <x:t xml:space="preserve">48-row audit · source context vs taxonomy-free Stage A</x:t>
  </x:si>
  <x:si>
    <x:t xml:space="preserve">灰色列为冻结来源；蓝色列 T:W 为人工输入；X:Y 自动引用 Guide；Z 自动检查完成状态。</x:t>
  </x:si>
  <x:si>
    <x:t xml:space="preserve">audit_row_id</x:t>
  </x:si>
  <x:si>
    <x:t xml:space="preserve">case_id</x:t>
  </x:si>
  <x:si>
    <x:t xml:space="preserve">model_role</x:t>
  </x:si>
  <x:si>
    <x:t xml:space="preserve">model</x:t>
  </x:si>
  <x:si>
    <x:t xml:space="preserve">state_summary</x:t>
  </x:si>
  <x:si>
    <x:t xml:space="preserve">conversation</x:t>
  </x:si>
  <x:si>
    <x:t xml:space="preserve">recent_activities</x:t>
  </x:si>
  <x:si>
    <x:t xml:space="preserve">source_evidence_quote</x:t>
  </x:si>
  <x:si>
    <x:t xml:space="preserve">tags</x:t>
  </x:si>
  <x:si>
    <x:t xml:space="preserve">stage_a_status</x:t>
  </x:si>
  <x:si>
    <x:t xml:space="preserve">error_type</x:t>
  </x:si>
  <x:si>
    <x:t xml:space="preserve">evidence_status</x:t>
  </x:si>
  <x:si>
    <x:t xml:space="preserve">formed_action</x:t>
  </x:si>
  <x:si>
    <x:t xml:space="preserve">formed_object</x:t>
  </x:si>
  <x:si>
    <x:t xml:space="preserve">desired_experience</x:t>
  </x:si>
  <x:si>
    <x:t xml:space="preserve">qualifiers</x:t>
  </x:si>
  <x:si>
    <x:t xml:space="preserve">alternative_actions</x:t>
  </x:si>
  <x:si>
    <x:t xml:space="preserve">formed_horizon</x:t>
  </x:si>
  <x:si>
    <x:t xml:space="preserve">reason_short</x:t>
  </x:si>
  <x:si>
    <x:t xml:space="preserve">action_rating</x:t>
  </x:si>
  <x:si>
    <x:t xml:space="preserve">object_rating</x:t>
  </x:si>
  <x:si>
    <x:t xml:space="preserve">horizon_rating</x:t>
  </x:si>
  <x:si>
    <x:t xml:space="preserve">reviewer_note</x:t>
  </x:si>
  <x:si>
    <x:t xml:space="preserve">reviewer_id</x:t>
  </x:si>
  <x:si>
    <x:t xml:space="preserve">reviewed_at</x:t>
  </x:si>
  <x:si>
    <x:t xml:space="preserve">row_status</x:t>
  </x:si>
  <x:si>
    <x:t xml:space="preserve">semantic-audit-0001</x:t>
  </x:si>
  <x:si>
    <x:t xml:space="preserve">kir-pilot-v2-0001</x:t>
  </x:si>
  <x:si>
    <x:t xml:space="preserve">primary_decision</x:t>
  </x:si>
  <x:si>
    <x:t xml:space="preserve">Gemini 3.6 Flash</x:t>
  </x:si>
  <x:si>
    <x:t xml:space="preserve">正在考虑下一项活动。</x:t>
  </x:si>
  <x:si>
    <x:t xml:space="preserve">Kindred: 我刚才还考虑过先休息。
User: 那只是之前的候选，你现在怎么决定？
Kindred: 现在照着雨景重新画一幅全新的插画。</x:t>
  </x:si>
  <x:si>
    <x:t xml:space="preserve">—</x:t>
  </x:si>
  <x:si>
    <x:t xml:space="preserve">现在照着雨景重新画一幅全新的插画。</x:t>
  </x:si>
  <x:si>
    <x:t xml:space="preserve">multi_turn；slot_required；multi_turn_override</x:t>
  </x:si>
  <x:si>
    <x:t xml:space="preserve">success</x:t>
  </x:si>
  <x:si>
    <x:t xml:space="preserve">clear</x:t>
  </x:si>
  <x:si>
    <x:t xml:space="preserve">照着雨景重新画一幅全新的插画</x:t>
  </x:si>
  <x:si>
    <x:t xml:space="preserve">雨景插画</x:t>
  </x:si>
  <x:si>
    <x:t xml:space="preserve">创作全新插画作品</x:t>
  </x:si>
  <x:si>
    <x:t xml:space="preserve">现在；全新创作；之前候选已被覆盖</x:t>
  </x:si>
  <x:si>
    <x:t xml:space="preserve">now</x:t>
  </x:si>
  <x:si>
    <x:t xml:space="preserve">最新表达覆盖之前候选并明确选择现在创作全新插画</x:t>
  </x:si>
  <x:si>
    <x:t xml:space="preserve">semantic-audit-0002</x:t>
  </x:si>
  <x:si>
    <x:t xml:space="preserve">weak_decision</x:t>
  </x:si>
  <x:si>
    <x:t xml:space="preserve">DeepSeek V4 Flash</x:t>
  </x:si>
  <x:si>
    <x:t xml:space="preserve">provider_failure</x:t>
  </x:si>
  <x:si>
    <x:t xml:space="preserve">incomplete</x:t>
  </x:si>
  <x:si>
    <x:t xml:space="preserve">lost</x:t>
  </x:si>
  <x:si>
    <x:t xml:space="preserve">stage_a_provider_failure</x:t>
  </x:si>
  <x:si>
    <x:t xml:space="preserve">semantic-audit-0003</x:t>
  </x:si>
  <x:si>
    <x:t xml:space="preserve">kir-pilot-v2-0011</x:t>
  </x:si>
  <x:si>
    <x:t xml:space="preserve">User: 你前面说了几个可能，现在有唯一选择吗？
Kindred: 去咖啡馆喝杯咖啡，顺便参加读书会。</x:t>
  </x:si>
  <x:si>
    <x:t xml:space="preserve">去咖啡馆喝杯咖啡，顺便参加读书会。</x:t>
  </x:si>
  <x:si>
    <x:t xml:space="preserve">multi_turn；slot_required；multi_turn_resolution</x:t>
  </x:si>
  <x:si>
    <x:t xml:space="preserve">去咖啡馆喝杯咖啡并参加读书会</x:t>
  </x:si>
  <x:si>
    <x:t xml:space="preserve">咖啡馆与读书会</x:t>
  </x:si>
  <x:si>
    <x:t xml:space="preserve">前往咖啡馆饮用咖啡并参与读书交流</x:t>
  </x:si>
  <x:si>
    <x:t xml:space="preserve">现在</x:t>
  </x:si>
  <x:si>
    <x:t xml:space="preserve">明确选择了前往咖啡馆喝咖啡并参加读书会作为当前唯一选择</x:t>
  </x:si>
  <x:si>
    <x:t xml:space="preserve">semantic-audit-0004</x:t>
  </x:si>
  <x:si>
    <x:t xml:space="preserve">semantic-audit-0005</x:t>
  </x:si>
  <x:si>
    <x:t xml:space="preserve">kir-pilot-v2-0021</x:t>
  </x:si>
  <x:si>
    <x:t xml:space="preserve">Kindred: 我原来想晚点再决定。
User: 以你此刻的决定为准。
Kindred: 现在在厨房照着食谱做晚饭吃。</x:t>
  </x:si>
  <x:si>
    <x:t xml:space="preserve">现在在厨房照着食谱做晚饭吃。</x:t>
  </x:si>
  <x:si>
    <x:t xml:space="preserve">multi_turn；slot_required；rest_eat_confusion；hypothesized_weak_model_probe；multi_turn_reconsideration</x:t>
  </x:si>
  <x:si>
    <x:t xml:space="preserve">照着食谱做晚饭吃</x:t>
  </x:si>
  <x:si>
    <x:t xml:space="preserve">晚饭</x:t>
  </x:si>
  <x:si>
    <x:t xml:space="preserve">亲自烹饪食物并享用</x:t>
  </x:si>
  <x:si>
    <x:t xml:space="preserve">现在；厨房</x:t>
  </x:si>
  <x:si>
    <x:t xml:space="preserve">最新表达明确现在要在厨房照着食谱做晚饭吃</x:t>
  </x:si>
  <x:si>
    <x:t xml:space="preserve">partial</x:t>
  </x:si>
  <x:si>
    <x:t xml:space="preserve">object缺少食谱</x:t>
  </x:si>
  <x:si>
    <x:t xml:space="preserve">semantic-audit-0006</x:t>
  </x:si>
  <x:si>
    <x:t xml:space="preserve">照食谱做晚饭吃</x:t>
  </x:si>
  <x:si>
    <x:t xml:space="preserve">享用自己做的晚饭</x:t>
  </x:si>
  <x:si>
    <x:t xml:space="preserve">现在；在厨房；照着食谱</x:t>
  </x:si>
  <x:si>
    <x:t xml:space="preserve">明确当前在厨房照着食谱做晚饭吃</x:t>
  </x:si>
  <x:si>
    <x:t xml:space="preserve">semantic-audit-0007</x:t>
  </x:si>
  <x:si>
    <x:t xml:space="preserve">kir-pilot-v2-0024</x:t>
  </x:si>
  <x:si>
    <x:t xml:space="preserve">身体有些疲惫。正在考虑下一项活动。</x:t>
  </x:si>
  <x:si>
    <x:t xml:space="preserve">Kindred: 我刚才还考虑过先休息。
User: 那只是之前的候选，你现在怎么决定？
Kindred: 想用冰箱里的蔬菜做一顿家常饭。</x:t>
  </x:si>
  <x:si>
    <x:t xml:space="preserve">想用冰箱里的蔬菜做一顿家常饭。</x:t>
  </x:si>
  <x:si>
    <x:t xml:space="preserve">multi_turn；slot_required；rest_eat_confusion；hypothesized_weak_model_probe；multi_turn_override；context_distractor</x:t>
  </x:si>
  <x:si>
    <x:t xml:space="preserve">用冰箱里的蔬菜做一顿家常饭</x:t>
  </x:si>
  <x:si>
    <x:t xml:space="preserve">冰箱里的蔬菜</x:t>
  </x:si>
  <x:si>
    <x:t xml:space="preserve">做一顿家常饭</x:t>
  </x:si>
  <x:si>
    <x:t xml:space="preserve">现在；之前候选已被覆盖</x:t>
  </x:si>
  <x:si>
    <x:t xml:space="preserve">最新表达覆盖之前休息的候选，明确选择用现有食材做饭</x:t>
  </x:si>
  <x:si>
    <x:r>
      <x:t xml:space="preserve">object</x:t>
    </x:r>
    <x:r>
      <x:rPr>
        <x:sz val="10"/>
        <x:color rgb="FF174A73"/>
        <x:rFont val="宋体"/>
        <x:family val="3"/>
      </x:rPr>
      <x:t xml:space="preserve">缺少冰箱里的蔬菜</x:t>
    </x:r>
  </x:si>
  <x:si>
    <x:t xml:space="preserve">semantic-audit-0008</x:t>
  </x:si>
  <x:si>
    <x:t xml:space="preserve">semantic-audit-0009</x:t>
  </x:si>
  <x:si>
    <x:t xml:space="preserve">kir-pilot-v2-0031</x:t>
  </x:si>
  <x:si>
    <x:t xml:space="preserve">Kindred: 上一项活动已经结束了。
User: 不要自动沿用刚才的活动，接下来呢？
Kindred: 现在发布一篇公开的周末生活帖子。</x:t>
  </x:si>
  <x:si>
    <x:t xml:space="preserve">现在发布一篇公开的周末生活帖子。</x:t>
  </x:si>
  <x:si>
    <x:t xml:space="preserve">multi_turn；slot_required；brandless_xhs；hypothesized_weak_model_probe；multi_turn_recency</x:t>
  </x:si>
  <x:si>
    <x:t xml:space="preserve">发布一篇公开的周末生活帖子</x:t>
  </x:si>
  <x:si>
    <x:t xml:space="preserve">周末生活帖子</x:t>
  </x:si>
  <x:si>
    <x:t xml:space="preserve">分享生活动态</x:t>
  </x:si>
  <x:si>
    <x:t xml:space="preserve">现在；公开</x:t>
  </x:si>
  <x:si>
    <x:t xml:space="preserve">最新表达明确决定现在发布公开的周末生活帖子</x:t>
  </x:si>
  <x:si>
    <x:t xml:space="preserve">semantic-audit-0010</x:t>
  </x:si>
  <x:si>
    <x:t xml:space="preserve">公开；现在</x:t>
  </x:si>
  <x:si>
    <x:t xml:space="preserve">当前明确想发布公开的周末生活帖子</x:t>
  </x:si>
  <x:si>
    <x:t xml:space="preserve">semantic-audit-0011</x:t>
  </x:si>
  <x:si>
    <x:t xml:space="preserve">kir-pilot-v2-0033</x:t>
  </x:si>
  <x:si>
    <x:t xml:space="preserve">接下来看看别人公开分享的旅行照片。</x:t>
  </x:si>
  <x:si>
    <x:t xml:space="preserve">single_turn；slot_required；brandless_xhs；hypothesized_weak_model_probe；context_control</x:t>
  </x:si>
  <x:si>
    <x:t xml:space="preserve">看别人公开分享的旅行照片</x:t>
  </x:si>
  <x:si>
    <x:t xml:space="preserve">旅行照片</x:t>
  </x:si>
  <x:si>
    <x:t xml:space="preserve">浏览他人分享的旅行照片</x:t>
  </x:si>
  <x:si>
    <x:t xml:space="preserve">公开分享</x:t>
  </x:si>
  <x:si>
    <x:t xml:space="preserve">当前明确想浏览别人公开分享的旅行照片</x:t>
  </x:si>
  <x:si>
    <x:t xml:space="preserve">semantic-audit-0012</x:t>
  </x:si>
  <x:si>
    <x:t xml:space="preserve">semantic-audit-0013</x:t>
  </x:si>
  <x:si>
    <x:t xml:space="preserve">kir-pilot-v2-0041</x:t>
  </x:si>
  <x:si>
    <x:t xml:space="preserve">User: 你前面说了几个可能，现在有唯一选择吗？
Kindred: 现在给你发一句问候。</x:t>
  </x:si>
  <x:si>
    <x:t xml:space="preserve">现在给你发一句问候。</x:t>
  </x:si>
  <x:si>
    <x:t xml:space="preserve">给你发一句问候</x:t>
  </x:si>
  <x:si>
    <x:t xml:space="preserve">你</x:t>
  </x:si>
  <x:si>
    <x:t xml:space="preserve">发送问候</x:t>
  </x:si>
  <x:si>
    <x:t xml:space="preserve">现在；针对对话用户</x:t>
  </x:si>
  <x:si>
    <x:t xml:space="preserve">最新表达明确现在给对方发送问候</x:t>
  </x:si>
  <x:si>
    <x:t xml:space="preserve">semantic-audit-0014</x:t>
  </x:si>
  <x:si>
    <x:t xml:space="preserve">semantic-audit-0015</x:t>
  </x:si>
  <x:si>
    <x:t xml:space="preserve">kir-pilot-v2-0044</x:t>
  </x:si>
  <x:si>
    <x:t xml:space="preserve">窗外正在下雨。正在考虑下一项活动。</x:t>
  </x:si>
  <x:si>
    <x:t xml:space="preserve">Kindred: 我原来想晚点再决定。
User: 以你此刻的决定为准。
Kindred: 接下来给你发消息分享刚才看到的云。</x:t>
  </x:si>
  <x:si>
    <x:t xml:space="preserve">接下来给你发消息分享刚才看到的云。</x:t>
  </x:si>
  <x:si>
    <x:t xml:space="preserve">multi_turn；slot_required；multi_turn_reconsideration；context_distractor</x:t>
  </x:si>
  <x:si>
    <x:t xml:space="preserve">发消息分享刚才看到的云</x:t>
  </x:si>
  <x:si>
    <x:t xml:space="preserve">刚才看到的云</x:t>
  </x:si>
  <x:si>
    <x:t xml:space="preserve">分享眼前的云</x:t>
  </x:si>
  <x:si>
    <x:t xml:space="preserve">接下来；发消息分享</x:t>
  </x:si>
  <x:si>
    <x:t xml:space="preserve">最新表达明确接下来发消息分享看到的云</x:t>
  </x:si>
  <x:si>
    <x:r>
      <x:t xml:space="preserve">object</x:t>
    </x:r>
    <x:r>
      <x:rPr>
        <x:sz val="10"/>
        <x:color rgb="FF174A73"/>
        <x:rFont val="Microsoft YaHei"/>
        <x:family val="2"/>
      </x:rPr>
      <x:t xml:space="preserve">缺少消息</x:t>
    </x:r>
  </x:si>
  <x:si>
    <x:t xml:space="preserve">semantic-audit-0016</x:t>
  </x:si>
  <x:si>
    <x:t xml:space="preserve">semantic-audit-0017</x:t>
  </x:si>
  <x:si>
    <x:t xml:space="preserve">kir-pilot-v2-0053</x:t>
  </x:si>
  <x:si>
    <x:t xml:space="preserve">接下来闭上眼安静放松十分钟。</x:t>
  </x:si>
  <x:si>
    <x:t xml:space="preserve">single_turn；slot_required；rest_eat_confusion；hypothesized_weak_model_probe；context_control</x:t>
  </x:si>
  <x:si>
    <x:t xml:space="preserve">闭上眼安静放松十分钟</x:t>
  </x:si>
  <x:si>
    <x:t xml:space="preserve">十分钟放松时段</x:t>
  </x:si>
  <x:si>
    <x:t xml:space="preserve">闭眼安静休息</x:t>
  </x:si>
  <x:si>
    <x:t xml:space="preserve">闭眼；十分钟</x:t>
  </x:si>
  <x:si>
    <x:t xml:space="preserve">当前明确想闭上眼睛安静放松十分钟</x:t>
  </x:si>
  <x:si>
    <x:t xml:space="preserve">semantic-audit-0018</x:t>
  </x:si>
  <x:si>
    <x:t xml:space="preserve">semantic-audit-0019</x:t>
  </x:si>
  <x:si>
    <x:t xml:space="preserve">kir-pilot-v2-0061</x:t>
  </x:si>
  <x:si>
    <x:t xml:space="preserve">Kindred: 上一项活动已经结束了。
User: 不要自动沿用刚才的活动，接下来呢？
Kindred: 现在想沿着湖边步行一圈。</x:t>
  </x:si>
  <x:si>
    <x:t xml:space="preserve">现在想沿着湖边步行一圈。</x:t>
  </x:si>
  <x:si>
    <x:t xml:space="preserve">multi_turn；slot_required；multi_turn_recency</x:t>
  </x:si>
  <x:si>
    <x:t xml:space="preserve">沿着湖边步行一圈</x:t>
  </x:si>
  <x:si>
    <x:t xml:space="preserve">湖边</x:t>
  </x:si>
  <x:si>
    <x:t xml:space="preserve">户外散步放松</x:t>
  </x:si>
  <x:si>
    <x:t xml:space="preserve">现在；不沿用上一项活动</x:t>
  </x:si>
  <x:si>
    <x:t xml:space="preserve">最新表达明确选择现在沿着湖边步行一圈</x:t>
  </x:si>
  <x:si>
    <x:t xml:space="preserve">semantic-audit-0020</x:t>
  </x:si>
  <x:si>
    <x:t xml:space="preserve">semantic-audit-0021</x:t>
  </x:si>
  <x:si>
    <x:t xml:space="preserve">kir-pilot-v2-0063</x:t>
  </x:si>
  <x:si>
    <x:t xml:space="preserve">User: 你前面说了几个可能，现在有唯一选择吗？
Kindred: 接下来去公园的小路上散散步。</x:t>
  </x:si>
  <x:si>
    <x:t xml:space="preserve">接下来去公园的小路上散散步。</x:t>
  </x:si>
  <x:si>
    <x:t xml:space="preserve">multi_turn；slot_required；multi_turn_resolution；context_control</x:t>
  </x:si>
  <x:si>
    <x:t xml:space="preserve">去公园的小路上散步</x:t>
  </x:si>
  <x:si>
    <x:t xml:space="preserve">公园的小路</x:t>
  </x:si>
  <x:si>
    <x:t xml:space="preserve">散步放松</x:t>
  </x:si>
  <x:si>
    <x:t xml:space="preserve">接下来；已有唯一选择</x:t>
  </x:si>
  <x:si>
    <x:t xml:space="preserve">最新表达明确决定接下来去公园小路上散步</x:t>
  </x:si>
  <x:si>
    <x:t xml:space="preserve">semantic-audit-0022</x:t>
  </x:si>
  <x:si>
    <x:t xml:space="preserve">去公园的小路上散散步</x:t>
  </x:si>
  <x:si>
    <x:t xml:space="preserve">公园小路</x:t>
  </x:si>
  <x:si>
    <x:t xml:space="preserve">在公园小路上散步</x:t>
  </x:si>
  <x:si>
    <x:t xml:space="preserve">接下来；公园的小路</x:t>
  </x:si>
  <x:si>
    <x:t xml:space="preserve">当前明确选择去公园小路散步</x:t>
  </x:si>
  <x:si>
    <x:t xml:space="preserve">semantic-audit-0023</x:t>
  </x:si>
  <x:si>
    <x:t xml:space="preserve">kir-pilot-v2-0073</x:t>
  </x:si>
  <x:si>
    <x:t xml:space="preserve">接下来去城市博物馆看历史展厅。</x:t>
  </x:si>
  <x:si>
    <x:t xml:space="preserve">single_turn；slot_required；context_control</x:t>
  </x:si>
  <x:si>
    <x:t xml:space="preserve">去城市博物馆看历史展厅</x:t>
  </x:si>
  <x:si>
    <x:t xml:space="preserve">城市博物馆历史展厅</x:t>
  </x:si>
  <x:si>
    <x:t xml:space="preserve">参观历史展览</x:t>
  </x:si>
  <x:si>
    <x:t xml:space="preserve">接下来；线下现场</x:t>
  </x:si>
  <x:si>
    <x:t xml:space="preserve">明确表达接下来去城市博物馆参观历史展厅</x:t>
  </x:si>
  <x:si>
    <x:t xml:space="preserve">semantic-audit-0024</x:t>
  </x:si>
  <x:si>
    <x:t xml:space="preserve">semantic-audit-0025</x:t>
  </x:si>
  <x:si>
    <x:t xml:space="preserve">kir-pilot-v2-0088</x:t>
  </x:si>
  <x:si>
    <x:t xml:space="preserve">给同一位博主私信询问穿搭链接。</x:t>
  </x:si>
  <x:si>
    <x:t xml:space="preserve">single_turn；near_oos；hard_negative；hypothesized_weak_model_probe；slot_required</x:t>
  </x:si>
  <x:si>
    <x:t xml:space="preserve">给同一位博主私信询问穿搭链接</x:t>
  </x:si>
  <x:si>
    <x:t xml:space="preserve">穿搭链接</x:t>
  </x:si>
  <x:si>
    <x:t xml:space="preserve">向博主询问特定信息</x:t>
  </x:si>
  <x:si>
    <x:t xml:space="preserve">同一位博主；私信</x:t>
  </x:si>
  <x:si>
    <x:t xml:space="preserve">当前明确想私信询问博主穿搭链接</x:t>
  </x:si>
  <x:si>
    <x:r>
      <x:t xml:space="preserve">object</x:t>
    </x:r>
    <x:r>
      <x:rPr>
        <x:sz val="10"/>
        <x:color rgb="FF174A73"/>
        <x:rFont val="Microsoft YaHei"/>
        <x:family val="2"/>
      </x:rPr>
      <x:t xml:space="preserve">缺少博主、私信</x:t>
    </x:r>
  </x:si>
  <x:si>
    <x:t xml:space="preserve">semantic-audit-0026</x:t>
  </x:si>
  <x:si>
    <x:t xml:space="preserve">私信询问穿搭链接</x:t>
  </x:si>
  <x:si>
    <x:t xml:space="preserve">获取穿搭链接</x:t>
  </x:si>
  <x:si>
    <x:t xml:space="preserve">同一位博主</x:t>
  </x:si>
  <x:si>
    <x:t xml:space="preserve">当前明确想私信同一位博主获取穿搭链接</x:t>
  </x:si>
  <x:si>
    <x:t xml:space="preserve">semantic-audit-0027</x:t>
  </x:si>
  <x:si>
    <x:t xml:space="preserve">kir-pilot-v2-0094</x:t>
  </x:si>
  <x:si>
    <x:t xml:space="preserve">想下楼在同一街区慢跑十分钟。</x:t>
  </x:si>
  <x:si>
    <x:t xml:space="preserve">下楼慢跑十分钟</x:t>
  </x:si>
  <x:si>
    <x:t xml:space="preserve">同一街区</x:t>
  </x:si>
  <x:si>
    <x:t xml:space="preserve">在附近户外慢跑</x:t>
  </x:si>
  <x:si>
    <x:t xml:space="preserve">下楼；同一街区；十分钟</x:t>
  </x:si>
  <x:si>
    <x:t xml:space="preserve">当前明确表达了下楼在同一街区慢跑十分钟的意图</x:t>
  </x:si>
  <x:si>
    <x:t xml:space="preserve">semantic-audit-0028</x:t>
  </x:si>
  <x:si>
    <x:t xml:space="preserve">该街区慢跑路线</x:t>
  </x:si>
  <x:si>
    <x:t xml:space="preserve">完成一次短时慢跑锻炼</x:t>
  </x:si>
  <x:si>
    <x:t xml:space="preserve">当前明确想下楼在同一街区慢跑十分钟</x:t>
  </x:si>
  <x:si>
    <x:t xml:space="preserve">semantic-audit-0029</x:t>
  </x:si>
  <x:si>
    <x:t xml:space="preserve">kir-pilot-v2-0096</x:t>
  </x:si>
  <x:si>
    <x:t xml:space="preserve">想到这家独立书店门口取件，不进去浏览。</x:t>
  </x:si>
  <x:si>
    <x:t xml:space="preserve">去独立书店门口取件</x:t>
  </x:si>
  <x:si>
    <x:t xml:space="preserve">独立书店包裹</x:t>
  </x:si>
  <x:si>
    <x:t xml:space="preserve">取件</x:t>
  </x:si>
  <x:si>
    <x:t xml:space="preserve">只在门口取件；不进去浏览</x:t>
  </x:si>
  <x:si>
    <x:t xml:space="preserve">当前行动明确为去书店门口取件，且明确不进去浏览</x:t>
  </x:si>
  <x:si>
    <x:r>
      <x:t xml:space="preserve">object</x:t>
    </x:r>
    <x:r>
      <x:rPr>
        <x:sz val="10"/>
        <x:color rgb="FF174A73"/>
        <x:rFont val="Microsoft YaHei"/>
        <x:family val="2"/>
      </x:rPr>
      <x:t xml:space="preserve">缺少书店</x:t>
    </x:r>
  </x:si>
  <x:si>
    <x:t xml:space="preserve">semantic-audit-0030</x:t>
  </x:si>
  <x:si>
    <x:t xml:space="preserve">semantic-audit-0031</x:t>
  </x:si>
  <x:si>
    <x:t xml:space="preserve">kir-pilot-v2-0099</x:t>
  </x:si>
  <x:si>
    <x:t xml:space="preserve">Kindred: 上一项活动已经结束了。
User: 不要自动沿用刚才的活动，接下来呢？
Kindred: 想把换下来的衣服放进洗衣机清洗。</x:t>
  </x:si>
  <x:si>
    <x:t xml:space="preserve">想把换下来的衣服放进洗衣机清洗。</x:t>
  </x:si>
  <x:si>
    <x:t xml:space="preserve">multi_turn；far_oos；slot_required；multi_turn_recency；context_control</x:t>
  </x:si>
  <x:si>
    <x:t xml:space="preserve">把换下来的衣服放进洗衣机清洗</x:t>
  </x:si>
  <x:si>
    <x:t xml:space="preserve">换下来的衣服</x:t>
  </x:si>
  <x:si>
    <x:t xml:space="preserve">清洗衣物</x:t>
  </x:si>
  <x:si>
    <x:t xml:space="preserve">下一项活动</x:t>
  </x:si>
  <x:si>
    <x:t xml:space="preserve">最新表达明确接下来想将换下的衣服放进洗衣机清洗</x:t>
  </x:si>
  <x:si>
    <x:r>
      <x:t xml:space="preserve">object</x:t>
    </x:r>
    <x:r>
      <x:rPr>
        <x:sz val="10"/>
        <x:color rgb="FF174A73"/>
        <x:rFont val="Microsoft YaHei"/>
        <x:family val="2"/>
      </x:rPr>
      <x:t xml:space="preserve">缺少洗衣机</x:t>
    </x:r>
  </x:si>
  <x:si>
    <x:t xml:space="preserve">semantic-audit-0032</x:t>
  </x:si>
  <x:si>
    <x:t xml:space="preserve">换下来的；洗衣机</x:t>
  </x:si>
  <x:si>
    <x:t xml:space="preserve">当前明确想清洗换下来的衣服</x:t>
  </x:si>
  <x:si>
    <x:t xml:space="preserve">semantic-audit-0033</x:t>
  </x:si>
  <x:si>
    <x:t xml:space="preserve">kir-pilot-v2-0117</x:t>
  </x:si>
  <x:si>
    <x:t xml:space="preserve">Kindred: 我原来想晚点再决定。
User: 以你此刻的决定为准。
Kindred: 已经到晚饭时间了，我还没有决定要不要吃东西。</x:t>
  </x:si>
  <x:si>
    <x:t xml:space="preserve">已经到晚饭时间了，我还没有决定要不要吃东西。</x:t>
  </x:si>
  <x:si>
    <x:t xml:space="preserve">multi_turn；quiet_control；hard_negative；multi_turn_reconsideration；context_control</x:t>
  </x:si>
  <x:si>
    <x:t xml:space="preserve">ambiguous</x:t>
  </x:si>
  <x:si>
    <x:t xml:space="preserve">到晚饭时间；未决定要不要吃</x:t>
  </x:si>
  <x:si>
    <x:t xml:space="preserve">吃东西；不吃东西</x:t>
  </x:si>
  <x:si>
    <x:t xml:space="preserve">到了晚饭时间但尚未决定是否要吃东西</x:t>
  </x:si>
  <x:si>
    <x:t xml:space="preserve">semantic-audit-0034</x:t>
  </x:si>
  <x:si>
    <x:t xml:space="preserve">semantic-audit-0035</x:t>
  </x:si>
  <x:si>
    <x:t xml:space="preserve">kir-pilot-v2-0121</x:t>
  </x:si>
  <x:si>
    <x:t xml:space="preserve">Kindred: 我刚才还考虑过先休息。
User: 那只是之前的候选，你现在怎么决定？
Kindred: 窗外阳光很好，我现在没有出去走走的打算。</x:t>
  </x:si>
  <x:si>
    <x:t xml:space="preserve">窗外阳光很好，我现在没有出去走走的打算。</x:t>
  </x:si>
  <x:si>
    <x:t xml:space="preserve">multi_turn；quiet_control；hard_negative；multi_turn_override；context_control</x:t>
  </x:si>
  <x:si>
    <x:t xml:space="preserve">none</x:t>
  </x:si>
  <x:si>
    <x:t xml:space="preserve">否定出去走走；之前候选已被覆盖</x:t>
  </x:si>
  <x:si>
    <x:t xml:space="preserve">明确否定了出去走走的打算，且没有其他当前行动安排</x:t>
  </x:si>
  <x:si>
    <x:t xml:space="preserve">semantic-audit-0036</x:t>
  </x:si>
  <x:si>
    <x:t xml:space="preserve">semantic-audit-0037</x:t>
  </x:si>
  <x:si>
    <x:t xml:space="preserve">kir-pilot-v2-0130</x:t>
  </x:si>
  <x:si>
    <x:t xml:space="preserve">以后有机会想看看那家博物馆，今天先不计划。</x:t>
  </x:si>
  <x:si>
    <x:t xml:space="preserve">single_turn；quiet_control</x:t>
  </x:si>
  <x:si>
    <x:t xml:space="preserve">deferred</x:t>
  </x:si>
  <x:si>
    <x:t xml:space="preserve">看看那家博物馆</x:t>
  </x:si>
  <x:si>
    <x:t xml:space="preserve">那家博物馆</x:t>
  </x:si>
  <x:si>
    <x:t xml:space="preserve">参观博物馆</x:t>
  </x:si>
  <x:si>
    <x:t xml:space="preserve">以后有机会；今天先不计划</x:t>
  </x:si>
  <x:si>
    <x:t xml:space="preserve">later</x:t>
  </x:si>
  <x:si>
    <x:t xml:space="preserve">表达了以后想看博物馆的愿望，但明确今天不计划，属于非当前行动</x:t>
  </x:si>
  <x:si>
    <x:t xml:space="preserve">semantic-audit-0038</x:t>
  </x:si>
  <x:si>
    <x:t xml:space="preserve">去那家博物馆看看</x:t>
  </x:si>
  <x:si>
    <x:t xml:space="preserve">未来愿望但明确今天不计划</x:t>
  </x:si>
  <x:si>
    <x:t xml:space="preserve">semantic-audit-0039</x:t>
  </x:si>
  <x:si>
    <x:t xml:space="preserve">kir-pilot-v2-0132</x:t>
  </x:si>
  <x:si>
    <x:t xml:space="preserve">周末也许约人吃饭，目前还没准备决定。</x:t>
  </x:si>
  <x:si>
    <x:t xml:space="preserve">约人吃饭</x:t>
  </x:si>
  <x:si>
    <x:t xml:space="preserve">与他人聚餐</x:t>
  </x:si>
  <x:si>
    <x:t xml:space="preserve">周末；未准备决定</x:t>
  </x:si>
  <x:si>
    <x:t xml:space="preserve">属于周末的未来计划，且目前明确表达还没准备决定</x:t>
  </x:si>
  <x:si>
    <x:r>
      <x:t xml:space="preserve">horizon</x:t>
    </x:r>
    <x:r>
      <x:rPr>
        <x:sz val="10"/>
        <x:color rgb="FF174A73"/>
        <x:rFont val="Microsoft YaHei"/>
        <x:family val="2"/>
      </x:rPr>
      <x:t xml:space="preserve">属于</x:t>
    </x:r>
    <x:r>
      <x:rPr>
        <x:sz val="10"/>
        <x:color rgb="FF174A73"/>
        <x:rFont val="Aptos"/>
        <x:family val="2"/>
      </x:rPr>
      <x:t xml:space="preserve">now</x:t>
    </x:r>
  </x:si>
  <x:si>
    <x:t xml:space="preserve">semantic-audit-0040</x:t>
  </x:si>
  <x:si>
    <x:t xml:space="preserve">semantic-audit-0041</x:t>
  </x:si>
  <x:si>
    <x:t xml:space="preserve">kir-pilot-v2-0137</x:t>
  </x:si>
  <x:si>
    <x:t xml:space="preserve">Kindred: 上一项活动已经结束了。
User: 不要自动沿用刚才的活动，接下来呢？
Kindred: 现在有点累也有点饿，躺下还是在家做饭都行，没决定。</x:t>
  </x:si>
  <x:si>
    <x:t xml:space="preserve">现在有点累也有点饿，躺下还是在家做饭都行，没决定。</x:t>
  </x:si>
  <x:si>
    <x:t xml:space="preserve">multi_turn；hard_negative；slot_required；rest_eat_confusion；hypothesized_weak_model_probe；multi_turn_recency；context_control</x:t>
  </x:si>
  <x:si>
    <x:t xml:space="preserve">暂未选择；当前疲惫和饥饿</x:t>
  </x:si>
  <x:si>
    <x:t xml:space="preserve">躺下休息；在家做饭</x:t>
  </x:si>
  <x:si>
    <x:t xml:space="preserve">存在躺下或做饭两个不同当前候选，明确表示尚未决定</x:t>
  </x:si>
  <x:si>
    <x:t xml:space="preserve">semantic-audit-0042</x:t>
  </x:si>
  <x:si>
    <x:t xml:space="preserve">semantic-audit-0043</x:t>
  </x:si>
  <x:si>
    <x:t xml:space="preserve">kir-pilot-v2-0140</x:t>
  </x:si>
  <x:si>
    <x:t xml:space="preserve">现在临近晚饭时间。想先休息或点外卖，两个都可以，没有决定。</x:t>
  </x:si>
  <x:si>
    <x:t xml:space="preserve">想先休息或点外卖，两个都可以，没有决定。</x:t>
  </x:si>
  <x:si>
    <x:t xml:space="preserve">single_turn；hard_negative；slot_required；rest_eat_confusion；hypothesized_weak_model_probe；context_distractor</x:t>
  </x:si>
  <x:si>
    <x:t xml:space="preserve">晚饭时间进行休闲或就餐安排</x:t>
  </x:si>
  <x:si>
    <x:t xml:space="preserve">临近晚饭时间；暂未决定</x:t>
  </x:si>
  <x:si>
    <x:t xml:space="preserve">休息；点外卖</x:t>
  </x:si>
  <x:si>
    <x:t xml:space="preserve">存在休息和点外卖两个当前候选，尚未做出决定</x:t>
  </x:si>
  <x:si>
    <x:t xml:space="preserve">semantic-audit-0044</x:t>
  </x:si>
  <x:si>
    <x:t xml:space="preserve">semantic-audit-0045</x:t>
  </x:si>
  <x:si>
    <x:t xml:space="preserve">kir-pilot-v2-0142</x:t>
  </x:si>
  <x:si>
    <x:t xml:space="preserve">User: 你前面说了几个可能，现在有唯一选择吗？
Kindred: 现在想出门，散步或找家咖啡馆都可以。</x:t>
  </x:si>
  <x:si>
    <x:t xml:space="preserve">现在想出门，散步或找家咖啡馆都可以。</x:t>
  </x:si>
  <x:si>
    <x:t xml:space="preserve">multi_turn；hard_negative；slot_required；multi_turn_resolution；context_distractor</x:t>
  </x:si>
  <x:si>
    <x:t xml:space="preserve">咖啡馆</x:t>
  </x:si>
  <x:si>
    <x:t xml:space="preserve">出门活动放松</x:t>
  </x:si>
  <x:si>
    <x:t xml:space="preserve">现在；暂未选择</x:t>
  </x:si>
  <x:si>
    <x:t xml:space="preserve">散步；找家咖啡馆</x:t>
  </x:si>
  <x:si>
    <x:t xml:space="preserve">存在出门散步或找咖啡馆两个候选，尚未做唯一选择</x:t>
  </x:si>
  <x:si>
    <x:t xml:space="preserve">semantic-audit-0046</x:t>
  </x:si>
  <x:si>
    <x:t xml:space="preserve">semantic-audit-0047</x:t>
  </x:si>
  <x:si>
    <x:t xml:space="preserve">kir-pilot-v2-0151</x:t>
  </x:si>
  <x:si>
    <x:t xml:space="preserve">想离开屋子一会儿，目的地还完全没想好。</x:t>
  </x:si>
  <x:si>
    <x:t xml:space="preserve">single_turn；slot_required</x:t>
  </x:si>
  <x:si>
    <x:t xml:space="preserve">离开屋子一会儿</x:t>
  </x:si>
  <x:si>
    <x:t xml:space="preserve">外出走走</x:t>
  </x:si>
  <x:si>
    <x:t xml:space="preserve">目的地未想好</x:t>
  </x:si>
  <x:si>
    <x:t xml:space="preserve">有离家出游的意向，但目的地完全尚未决定</x:t>
  </x:si>
  <x:si>
    <x:t xml:space="preserve">semantic-audit-0048</x:t>
  </x:si>
  <x:si>
    <x:t xml:space="preserve">Rubric · preserved / partial / lost</x:t>
  </x:si>
  <x:si>
    <x:t xml:space="preserve">当前行动、否定和备选关系完整保留；同义改写可以。若来源无行动，正确保持无行动也算 preserved。</x:t>
  </x:si>
  <x:si>
    <x:t xml:space="preserve">核心行动仍可辨认，但方式、并列动作、否定或备选关系有实质弱化。</x:t>
  </x:si>
  <x:si>
    <x:t xml:space="preserve">行动缺失、被替换、与来源矛盾，或凭空确定了来源没有的唯一行动。</x:t>
  </x:si>
  <x:si>
    <x:t xml:space="preserve">行动对象及关键范围完整保留；来源无对象时不发明对象。</x:t>
  </x:si>
  <x:si>
    <x:t xml:space="preserve">对象大类正确，但具体对象、场所、对象范围或关键限定丢失一部分。</x:t>
  </x:si>
  <x:si>
    <x:t xml:space="preserve">对象缺失、换成另一对象、与来源矛盾，或发明了会改变含义的对象。</x:t>
  </x:si>
  <x:si>
    <x:t xml:space="preserve">now/later/unspecified 与最新有效表达一致，并正确处理历史候选、否定和延期。</x:t>
  </x:si>
  <x:si>
    <x:t xml:space="preserve">大方向接近，但时间范围被不必要泛化，或关键时间限定没有完整保留。</x:t>
  </x:si>
  <x:si>
    <x:t xml:space="preserve">现在与以后颠倒、把已否定/历史候选当当前计划，或完全丢失关键时间范围。</x:t>
  </x:si>
  <x:si>
    <x:t xml:space="preserve">边界规则</x:t>
  </x:si>
  <x:si>
    <x:t xml:space="preserve">• 只比较 source 与 formed intention；不要依据 Gold decision、最终 B3 routing 或你偏好的 Activity 打分。</x:t>
  </x:si>
  <x:si>
    <x:t xml:space="preserve">• 字段在来源中确实不存在时，模型保持 null/none/unspecified 可评 preserved；不要强迫补全。</x:t>
  </x:si>
  <x:si>
    <x:t xml:space="preserve">• ambiguous 输入允许 action + alternatives；重点是候选关系是否保留，不要求模型替用户做唯一决定。</x:t>
  </x:si>
  <x:si>
    <x:t xml:space="preserve">• provider_failure 没有形成表示，action/object/horizon 均为 lost；备注 stage_a_provider_failure。</x:t>
  </x:si>
  <x:si>
    <x:t xml:space="preserve">• partial 与 lost 的备注要引用具体丢失或发明的语义，避免只写‘感觉不对’。</x:t>
  </x:si>
  <x:si>
    <x:t xml:space="preserve">Options &amp; frozen provenance</x:t>
  </x:si>
  <x:si>
    <x:t xml:space="preserve">rating</x:t>
  </x:si>
  <x:si>
    <x:t xml:space="preserve">含义</x:t>
  </x:si>
  <x:si>
    <x:t xml:space="preserve">完整保留或正确保持缺省</x:t>
  </x:si>
  <x:si>
    <x:t xml:space="preserve">核心仍可辨认但有实质弱化</x:t>
  </x:si>
  <x:si>
    <x:t xml:space="preserve">缺失、矛盾或发明导致含义改变</x:t>
  </x:si>
  <x:si>
    <x:t xml:space="preserve">source</x:t>
  </x:si>
  <x:si>
    <x:t xml:space="preserve">repository path</x:t>
  </x:si>
  <x:si>
    <x:t xml:space="preserve">SHA-256</x:t>
  </x:si>
  <x:si>
    <x:t xml:space="preserve">contract</x:t>
  </x:si>
  <x:si>
    <x:t xml:space="preserve">value</x:t>
  </x:si>
  <x:si>
    <x:t xml:space="preserve">freeze</x:t>
  </x:si>
  <x:si>
    <x:t xml:space="preserve">data/kir-pilot-v2/freeze-manifest.json</x:t>
  </x:si>
  <x:si>
    <x:t xml:space="preserve">e079e192837da06daa8a00ab4cf73174ee4463bdeeb9b3f0271e52929597d9aa</x:t>
  </x:si>
  <x:si>
    <x:t xml:space="preserve">dataset_version</x:t>
  </x:si>
  <x:si>
    <x:t xml:space="preserve">kir-pilot-v2</x:t>
  </x:si>
  <x:si>
    <x:t xml:space="preserve">split</x:t>
  </x:si>
  <x:si>
    <x:t xml:space="preserve">data/kir-pilot-v2/split-manifest.json</x:t>
  </x:si>
  <x:si>
    <x:t xml:space="preserve">cc68976c1c6eb4de664d05e529d31db1d5208073a4553c630e437e416f587902</x:t>
  </x:si>
  <x:si>
    <x:t xml:space="preserve">taxonomy_version</x:t>
  </x:si>
  <x:si>
    <x:t xml:space="preserve">kindred-activity-intents-v2</x:t>
  </x:si>
  <x:si>
    <x:t xml:space="preserve">cases</x:t>
  </x:si>
  <x:si>
    <x:t xml:space="preserve">data/kir-pilot-v2/test.jsonl</x:t>
  </x:si>
  <x:si>
    <x:t xml:space="preserve">648ebce7fd1fe9d9ce9699fd96f27948a1aa675fa4f8db1d73aa07bf4ef57fa5</x:t>
  </x:si>
  <x:si>
    <x:t xml:space="preserve">frozen_case_count</x:t>
  </x:si>
  <x:si>
    <x:t xml:space="preserve">primary</x:t>
  </x:si>
  <x:si>
    <x:t xml:space="preserve">experiments/ie3-test/primary_decision/b3/formed-intentions.jsonl</x:t>
  </x:si>
  <x:si>
    <x:t xml:space="preserve">84bf0034e9bbea213b41dfe0104fd864daa4c9c7c3bd37c61ad67b59ca9b4b93</x:t>
  </x:si>
  <x:si>
    <x:t xml:space="preserve">audit_row_count</x:t>
  </x:si>
  <x:si>
    <x:t xml:space="preserve">weak</x:t>
  </x:si>
  <x:si>
    <x:t xml:space="preserve">experiments/ie3-test/weak_decision/b3/formed-intentions.jsonl</x:t>
  </x:si>
  <x:si>
    <x:t xml:space="preserve">0fb0f91c7100b4cc3c5877014446c7fdc641bdecb8970bf0e3c0fbe9ec0ca86a</x:t>
  </x:si>
  <x:si>
    <x:t xml:space="preserve">audited_fields</x:t>
  </x:si>
  <x:si>
    <x:t xml:space="preserve">action/object/horizon</x:t>
  </x:si>
  <x:si>
    <x:t xml:space="preserve">verdict_effect</x:t>
  </x:si>
  <x:si>
    <x:t xml:space="preserve">diagnostic_only</x:t>
  </x:si>
</x:sst>
</file>

<file path=xl/styles.xml><?xml version="1.0" encoding="utf-8"?>
<x:styleSheet xmlns:x="http://schemas.openxmlformats.org/spreadsheetml/2006/main">
  <x:numFmts count="3">
    <x:numFmt numFmtId="176" formatCode="0.0%"/>
    <x:numFmt numFmtId="177" formatCode="yyyy\-mm\-dd\ hh:mm"/>
    <x:numFmt numFmtId="200" formatCode="yyyy-mm-dd"/>
  </x:numFmts>
  <x:fonts count="25">
    <x:font>
      <x:sz val="11"/>
      <x:name val="Carlito"/>
    </x:font>
    <x:font>
      <x:b/>
      <x:sz val="12"/>
      <x:color rgb="FF17324D"/>
      <x:name val="Carlito"/>
    </x:font>
    <x:font>
      <x:sz val="11"/>
      <x:color rgb="FF263442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2"/>
      <x:color rgb="FF17324D"/>
      <x:name val="Aptos"/>
    </x:font>
    <x:font>
      <x:sz val="11"/>
      <x:color rgb="FF263442"/>
      <x:name val="Aptos"/>
    </x:font>
    <x:font>
      <x:b/>
      <x:sz val="11"/>
      <x:color rgb="FF5B6573"/>
      <x:name val="Aptos"/>
    </x:font>
    <x:font>
      <x:sz val="11"/>
      <x:color rgb="FF174A73"/>
      <x:name val="Aptos"/>
    </x:font>
    <x:font>
      <x:b/>
      <x:sz val="11"/>
      <x:color rgb="FFFFFFFF"/>
      <x:name val="Aptos"/>
    </x:font>
    <x:font>
      <x:b/>
      <x:sz val="12"/>
      <x:color rgb="FFFFFFFF"/>
      <x:name val="Aptos"/>
    </x:font>
    <x:font>
      <x:b/>
      <x:sz val="16"/>
      <x:color rgb="FFFFFFFF"/>
      <x:name val="Aptos Display"/>
    </x:font>
    <x:font>
      <x:i/>
      <x:sz val="11"/>
      <x:color rgb="FF17324D"/>
      <x:name val="Carlito"/>
    </x:font>
    <x:font>
      <x:sz val="10"/>
      <x:color rgb="FF263442"/>
      <x:name val="Aptos"/>
    </x:font>
    <x:font>
      <x:b/>
      <x:sz val="10"/>
      <x:color rgb="FFFFFFFF"/>
      <x:name val="Aptos"/>
    </x:font>
    <x:font>
      <x:sz val="10"/>
      <x:color rgb="FF174A73"/>
      <x:name val="Aptos"/>
    </x:font>
    <x:font>
      <x:sz val="10"/>
      <x:color rgb="FF5B6573"/>
      <x:name val="Aptos"/>
    </x:font>
    <x:font>
      <x:b/>
      <x:sz val="17"/>
      <x:color rgb="FFFFFFFF"/>
      <x:name val="Aptos Display"/>
    </x:font>
    <x:font>
      <x:b/>
      <x:sz val="11"/>
      <x:color rgb="FF17324D"/>
      <x:name val="Aptos"/>
    </x:font>
    <x:font>
      <x:sz val="11"/>
      <x:name val="Carlito"/>
    </x:font>
    <x:font>
      <x:sz val="9"/>
      <x:name val="宋体"/>
    </x:font>
    <x:font>
      <x:sz val="10"/>
      <x:color rgb="FF174A73"/>
      <x:name val="Microsoft YaHei"/>
    </x:font>
    <x:font>
      <x:sz val="10"/>
      <x:color rgb="FF174A73"/>
      <x:name val="宋体"/>
    </x:font>
    <x:font>
      <x:sz val="10"/>
      <x:color rgb="FF174A73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6F2"/>
      </x:patternFill>
    </x:fill>
    <x:fill>
      <x:patternFill patternType="solid">
        <x:fgColor rgb="FFFFFFFF"/>
      </x:patternFill>
    </x:fill>
    <x:fill>
      <x:patternFill patternType="solid">
        <x:fgColor rgb="FFF4F7FA"/>
      </x:patternFill>
    </x:fill>
    <x:fill>
      <x:patternFill patternType="solid">
        <x:fgColor rgb="FFDCEEFF"/>
      </x:patternFill>
    </x:fill>
    <x:fill>
      <x:patternFill patternType="solid">
        <x:fgColor rgb="FFE8EEF4"/>
      </x:patternFill>
    </x:fill>
    <x:fill>
      <x:patternFill patternType="solid">
        <x:fgColor rgb="FFEEF2F6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</x:fills>
  <x:borders count="16">
    <x:border/>
    <x:border>
      <x:right style="thin">
        <x:color rgb="FFCAD5DF"/>
      </x:right>
      <x:bottom style="thin">
        <x:color rgb="FFCAD5DF"/>
      </x:bottom>
    </x:border>
    <x:border>
      <x:left style="thin">
        <x:color rgb="FFCAD5DF"/>
      </x:left>
      <x:right style="thin">
        <x:color rgb="FFCAD5DF"/>
      </x:right>
      <x:bottom style="thin">
        <x:color rgb="FFCAD5DF"/>
      </x:bottom>
    </x:border>
    <x:border>
      <x:left style="thin">
        <x:color rgb="FFCAD5DF"/>
      </x:left>
      <x:bottom style="thin">
        <x:color rgb="FFCAD5DF"/>
      </x:bottom>
    </x:border>
    <x:border>
      <x:right style="thin">
        <x:color rgb="FFCAD5DF"/>
      </x:right>
      <x:top style="thin">
        <x:color rgb="FFCAD5DF"/>
      </x:top>
      <x:bottom style="thin">
        <x:color rgb="FFCAD5DF"/>
      </x:bottom>
    </x:border>
    <x:border>
      <x:left style="thin">
        <x:color rgb="FFCAD5DF"/>
      </x:left>
      <x:right style="thin">
        <x:color rgb="FFCAD5DF"/>
      </x:right>
      <x:top style="thin">
        <x:color rgb="FFCAD5DF"/>
      </x:top>
      <x:bottom style="thin">
        <x:color rgb="FFCAD5DF"/>
      </x:bottom>
    </x:border>
    <x:border>
      <x:left style="thin">
        <x:color rgb="FFCAD5DF"/>
      </x:left>
      <x:top style="thin">
        <x:color rgb="FFCAD5DF"/>
      </x:top>
      <x:bottom style="thin">
        <x:color rgb="FFCAD5DF"/>
      </x:bottom>
    </x:border>
    <x:border>
      <x:right style="thin">
        <x:color rgb="FFCAD5DF"/>
      </x:right>
      <x:top style="thin">
        <x:color rgb="FFCAD5DF"/>
      </x:top>
    </x:border>
    <x:border>
      <x:left style="thin">
        <x:color rgb="FFCAD5DF"/>
      </x:left>
      <x:right style="thin">
        <x:color rgb="FFCAD5DF"/>
      </x:right>
      <x:top style="thin">
        <x:color rgb="FFCAD5DF"/>
      </x:top>
    </x:border>
    <x:border>
      <x:left style="thin">
        <x:color rgb="FFCAD5DF"/>
      </x:left>
      <x:top style="thin">
        <x:color rgb="FFCAD5DF"/>
      </x:top>
    </x:border>
    <x:border>
      <x:left style="thin">
        <x:color rgb="FF7AA7CC"/>
      </x:left>
      <x:top style="thin">
        <x:color rgb="FF7AA7CC"/>
      </x:top>
    </x:border>
    <x:border>
      <x:top style="thin">
        <x:color rgb="FF7AA7CC"/>
      </x:top>
    </x:border>
    <x:border>
      <x:right style="thin">
        <x:color rgb="FF7AA7CC"/>
      </x:right>
      <x:top style="thin">
        <x:color rgb="FF7AA7CC"/>
      </x:top>
    </x:border>
    <x:border>
      <x:left style="thin">
        <x:color rgb="FF7AA7CC"/>
      </x:left>
      <x:bottom style="thin">
        <x:color rgb="FF7AA7CC"/>
      </x:bottom>
    </x:border>
    <x:border>
      <x:bottom style="thin">
        <x:color rgb="FF7AA7CC"/>
      </x:bottom>
    </x:border>
    <x:border>
      <x:right style="thin">
        <x:color rgb="FF7AA7CC"/>
      </x:right>
      <x:bottom style="thin">
        <x:color rgb="FF7AA7CC"/>
      </x:bottom>
    </x:border>
  </x:borders>
  <x:cellStyleXfs count="2">
    <x:xf numFmtId="0" fontId="0" fillId="0" borderId="0"/>
    <x:xf numFmtId="0" fontId="20" fillId="0" borderId="0"/>
  </x:cellStyleXfs>
  <x:cellXfs count="82">
    <x:xf numFmtId="0" fontId="0" fillId="0" borderId="0" xfId="0"/>
    <x:xf numFmtId="0" fontId="0" fillId="0" borderId="4" xfId="1" applyFont="1" applyBorder="1"/>
    <x:xf numFmtId="0" fontId="0" fillId="0" borderId="6" xfId="1" applyFont="1" applyBorder="1"/>
    <x:xf numFmtId="0" fontId="0" fillId="0" borderId="7" xfId="1" applyFont="1" applyBorder="1"/>
    <x:xf numFmtId="0" fontId="0" fillId="0" borderId="9" xfId="1" applyFont="1" applyBorder="1"/>
    <x:xf numFmtId="0" fontId="3" fillId="2" borderId="1" xfId="1" applyFont="1" applyFill="1" applyBorder="1"/>
    <x:xf numFmtId="0" fontId="3" fillId="2" borderId="3" xfId="1" applyFont="1" applyFill="1" applyBorder="1"/>
    <x:xf numFmtId="0" fontId="5" fillId="0" borderId="0" xfId="1" applyFont="1" applyAlignment="1">
      <x:alignment vertical="center"/>
    </x:xf>
    <x:xf numFmtId="0" fontId="8" fillId="5" borderId="1" xfId="1" applyFont="1" applyFill="1" applyBorder="1" applyAlignment="1">
      <x:alignment vertical="center"/>
    </x:xf>
    <x:xf numFmtId="0" fontId="6" fillId="4" borderId="3" xfId="1" applyFont="1" applyFill="1" applyBorder="1" applyAlignment="1">
      <x:alignment horizontal="right" vertical="center"/>
    </x:xf>
    <x:xf numFmtId="0" fontId="8" fillId="5" borderId="4" xfId="1" applyFont="1" applyFill="1" applyBorder="1" applyAlignment="1">
      <x:alignment vertical="center"/>
    </x:xf>
    <x:xf numFmtId="0" fontId="6" fillId="4" borderId="6" xfId="1" applyFont="1" applyFill="1" applyBorder="1" applyAlignment="1">
      <x:alignment horizontal="right" vertical="center"/>
    </x:xf>
    <x:xf numFmtId="176" fontId="6" fillId="4" borderId="6" xfId="1" applyNumberFormat="1" applyFont="1" applyFill="1" applyBorder="1" applyAlignment="1">
      <x:alignment horizontal="right" vertical="center"/>
    </x:xf>
    <x:xf numFmtId="0" fontId="8" fillId="5" borderId="7" xfId="1" applyFont="1" applyFill="1" applyBorder="1" applyAlignment="1">
      <x:alignment vertical="center"/>
    </x:xf>
    <x:xf numFmtId="0" fontId="6" fillId="4" borderId="9" xfId="1" applyFont="1" applyFill="1" applyBorder="1" applyAlignment="1">
      <x:alignment horizontal="right" vertical="center"/>
    </x:xf>
    <x:xf numFmtId="0" fontId="8" fillId="5" borderId="0" xfId="1" applyFont="1" applyFill="1" applyAlignment="1">
      <x:alignment vertical="center"/>
    </x:xf>
    <x:xf numFmtId="0" fontId="10" fillId="2" borderId="1" xfId="1" applyFont="1" applyFill="1" applyBorder="1" applyAlignment="1">
      <x:alignment horizontal="center" vertical="center"/>
    </x:xf>
    <x:xf numFmtId="0" fontId="10" fillId="2" borderId="2" xfId="1" applyFont="1" applyFill="1" applyBorder="1" applyAlignment="1">
      <x:alignment horizontal="center" vertical="center"/>
    </x:xf>
    <x:xf numFmtId="0" fontId="10" fillId="2" borderId="3" xfId="1" applyFont="1" applyFill="1" applyBorder="1" applyAlignment="1">
      <x:alignment horizontal="center" vertical="center"/>
    </x:xf>
    <x:xf numFmtId="0" fontId="5" fillId="0" borderId="5" xfId="1" applyFont="1" applyBorder="1" applyAlignment="1">
      <x:alignment horizontal="right" vertical="center"/>
    </x:xf>
    <x:xf numFmtId="0" fontId="5" fillId="0" borderId="6" xfId="1" applyFont="1" applyBorder="1" applyAlignment="1">
      <x:alignment horizontal="right" vertical="center"/>
    </x:xf>
    <x:xf numFmtId="0" fontId="5" fillId="0" borderId="8" xfId="1" applyFont="1" applyBorder="1" applyAlignment="1">
      <x:alignment horizontal="right" vertical="center"/>
    </x:xf>
    <x:xf numFmtId="0" fontId="5" fillId="0" borderId="9" xfId="1" applyFont="1" applyBorder="1" applyAlignment="1">
      <x:alignment horizontal="right" vertical="center"/>
    </x:xf>
    <x:xf numFmtId="0" fontId="15" fillId="2" borderId="0" xfId="1" applyFont="1" applyFill="1" applyAlignment="1">
      <x:alignment vertical="center" wrapText="1"/>
    </x:xf>
    <x:xf numFmtId="0" fontId="16" fillId="6" borderId="0" xfId="1" applyFont="1" applyFill="1" applyAlignment="1">
      <x:alignment vertical="top" wrapText="1"/>
    </x:xf>
    <x:xf numFmtId="0" fontId="17" fillId="8" borderId="0" xfId="1" applyFont="1" applyFill="1" applyAlignment="1">
      <x:alignment vertical="top"/>
    </x:xf>
    <x:xf numFmtId="0" fontId="14" fillId="5" borderId="0" xfId="1" applyFont="1" applyFill="1" applyAlignment="1">
      <x:alignment vertical="top" wrapText="1"/>
    </x:xf>
    <x:xf numFmtId="0" fontId="14" fillId="5" borderId="0" xfId="1" applyFont="1" applyFill="1" applyAlignment="1">
      <x:alignment vertical="center"/>
    </x:xf>
    <x:xf numFmtId="0" fontId="16" fillId="6" borderId="0" xfId="1" applyFont="1" applyFill="1" applyAlignment="1">
      <x:alignment vertical="center" wrapText="1"/>
    </x:xf>
    <x:xf numFmtId="177" fontId="17" fillId="8" borderId="0" xfId="1" applyNumberFormat="1" applyFont="1" applyFill="1" applyAlignment="1">
      <x:alignment vertical="top"/>
    </x:xf>
    <x:xf numFmtId="0" fontId="10" fillId="2" borderId="1" xfId="1" applyFont="1" applyFill="1" applyBorder="1" applyAlignment="1">
      <x:alignment horizontal="center" vertical="top" wrapText="1"/>
    </x:xf>
    <x:xf numFmtId="0" fontId="10" fillId="2" borderId="2" xfId="1" applyFont="1" applyFill="1" applyBorder="1" applyAlignment="1">
      <x:alignment horizontal="center" vertical="top" wrapText="1"/>
    </x:xf>
    <x:xf numFmtId="0" fontId="10" fillId="2" borderId="3" xfId="1" applyFont="1" applyFill="1" applyBorder="1" applyAlignment="1">
      <x:alignment horizontal="center" vertical="top" wrapText="1"/>
    </x:xf>
    <x:xf numFmtId="0" fontId="19" fillId="7" borderId="4" xfId="1" applyFont="1" applyFill="1" applyBorder="1" applyAlignment="1">
      <x:alignment vertical="top" wrapText="1"/>
    </x:xf>
    <x:xf numFmtId="0" fontId="19" fillId="7" borderId="7" xfId="1" applyFont="1" applyFill="1" applyBorder="1" applyAlignment="1">
      <x:alignment vertical="top" wrapText="1"/>
    </x:xf>
    <x:xf numFmtId="0" fontId="7" fillId="9" borderId="5" xfId="1" applyFont="1" applyFill="1" applyBorder="1" applyAlignment="1">
      <x:alignment vertical="top" wrapText="1"/>
    </x:xf>
    <x:xf numFmtId="0" fontId="7" fillId="9" borderId="8" xfId="1" applyFont="1" applyFill="1" applyBorder="1" applyAlignment="1">
      <x:alignment vertical="top" wrapText="1"/>
    </x:xf>
    <x:xf numFmtId="0" fontId="7" fillId="10" borderId="5" xfId="1" applyFont="1" applyFill="1" applyBorder="1" applyAlignment="1">
      <x:alignment vertical="top" wrapText="1"/>
    </x:xf>
    <x:xf numFmtId="0" fontId="7" fillId="10" borderId="8" xfId="1" applyFont="1" applyFill="1" applyBorder="1" applyAlignment="1">
      <x:alignment vertical="top" wrapText="1"/>
    </x:xf>
    <x:xf numFmtId="0" fontId="7" fillId="11" borderId="6" xfId="1" applyFont="1" applyFill="1" applyBorder="1" applyAlignment="1">
      <x:alignment vertical="top" wrapText="1"/>
    </x:xf>
    <x:xf numFmtId="0" fontId="7" fillId="11" borderId="9" xfId="1" applyFont="1" applyFill="1" applyBorder="1" applyAlignment="1">
      <x:alignment vertical="top" wrapText="1"/>
    </x:xf>
    <x:xf numFmtId="0" fontId="0" fillId="9" borderId="4" xfId="1" applyFont="1" applyFill="1" applyBorder="1"/>
    <x:xf numFmtId="0" fontId="0" fillId="9" borderId="6" xfId="1" applyFont="1" applyFill="1" applyBorder="1"/>
    <x:xf numFmtId="0" fontId="0" fillId="10" borderId="4" xfId="1" applyFont="1" applyFill="1" applyBorder="1"/>
    <x:xf numFmtId="0" fontId="0" fillId="10" borderId="6" xfId="1" applyFont="1" applyFill="1" applyBorder="1"/>
    <x:xf numFmtId="0" fontId="0" fillId="11" borderId="7" xfId="1" applyFont="1" applyFill="1" applyBorder="1"/>
    <x:xf numFmtId="0" fontId="0" fillId="11" borderId="9" xfId="1" applyFont="1" applyFill="1" applyBorder="1"/>
    <x:xf numFmtId="0" fontId="14" fillId="0" borderId="4" xfId="1" applyFont="1" applyBorder="1" applyAlignment="1">
      <x:alignment wrapText="1"/>
    </x:xf>
    <x:xf numFmtId="0" fontId="14" fillId="0" borderId="5" xfId="1" applyFont="1" applyBorder="1" applyAlignment="1">
      <x:alignment wrapText="1"/>
    </x:xf>
    <x:xf numFmtId="0" fontId="14" fillId="0" borderId="6" xfId="1" applyFont="1" applyBorder="1" applyAlignment="1">
      <x:alignment wrapText="1"/>
    </x:xf>
    <x:xf numFmtId="0" fontId="14" fillId="0" borderId="7" xfId="1" applyFont="1" applyBorder="1" applyAlignment="1">
      <x:alignment wrapText="1"/>
    </x:xf>
    <x:xf numFmtId="0" fontId="14" fillId="0" borderId="8" xfId="1" applyFont="1" applyBorder="1" applyAlignment="1">
      <x:alignment wrapText="1"/>
    </x:xf>
    <x:xf numFmtId="0" fontId="14" fillId="0" borderId="9" xfId="1" applyFont="1" applyBorder="1" applyAlignment="1">
      <x:alignment wrapText="1"/>
    </x:xf>
    <x:xf numFmtId="0" fontId="15" fillId="2" borderId="1" xfId="1" applyFont="1" applyFill="1" applyBorder="1" applyAlignment="1">
      <x:alignment wrapText="1"/>
    </x:xf>
    <x:xf numFmtId="0" fontId="15" fillId="2" borderId="2" xfId="1" applyFont="1" applyFill="1" applyBorder="1" applyAlignment="1">
      <x:alignment wrapText="1"/>
    </x:xf>
    <x:xf numFmtId="0" fontId="15" fillId="2" borderId="3" xfId="1" applyFont="1" applyFill="1" applyBorder="1" applyAlignment="1">
      <x:alignment wrapText="1"/>
    </x:xf>
    <x:xf numFmtId="0" fontId="4" fillId="2" borderId="0" xfId="1" applyFont="1" applyFill="1" applyAlignment="1">
      <x:alignment horizontal="left" vertical="center"/>
    </x:xf>
    <x:xf numFmtId="0" fontId="6" fillId="3" borderId="0" xfId="1" applyFont="1" applyFill="1" applyAlignment="1">
      <x:alignment vertical="center"/>
    </x:xf>
    <x:xf numFmtId="0" fontId="7" fillId="4" borderId="1" xfId="1" applyFont="1" applyFill="1" applyBorder="1" applyAlignment="1">
      <x:alignment vertical="center" wrapText="1"/>
    </x:xf>
    <x:xf numFmtId="0" fontId="7" fillId="4" borderId="2" xfId="1" applyFont="1" applyFill="1" applyBorder="1" applyAlignment="1">
      <x:alignment vertical="center" wrapText="1"/>
    </x:xf>
    <x:xf numFmtId="0" fontId="7" fillId="4" borderId="3" xfId="1" applyFont="1" applyFill="1" applyBorder="1" applyAlignment="1">
      <x:alignment vertical="center" wrapText="1"/>
    </x:xf>
    <x:xf numFmtId="0" fontId="7" fillId="4" borderId="4" xfId="1" applyFont="1" applyFill="1" applyBorder="1" applyAlignment="1">
      <x:alignment vertical="center" wrapText="1"/>
    </x:xf>
    <x:xf numFmtId="0" fontId="7" fillId="4" borderId="5" xfId="1" applyFont="1" applyFill="1" applyBorder="1" applyAlignment="1">
      <x:alignment vertical="center" wrapText="1"/>
    </x:xf>
    <x:xf numFmtId="0" fontId="7" fillId="4" borderId="6" xfId="1" applyFont="1" applyFill="1" applyBorder="1" applyAlignment="1">
      <x:alignment vertical="center" wrapText="1"/>
    </x:xf>
    <x:xf numFmtId="0" fontId="7" fillId="4" borderId="7" xfId="1" applyFont="1" applyFill="1" applyBorder="1" applyAlignment="1">
      <x:alignment vertical="center" wrapText="1"/>
    </x:xf>
    <x:xf numFmtId="0" fontId="7" fillId="4" borderId="8" xfId="1" applyFont="1" applyFill="1" applyBorder="1" applyAlignment="1">
      <x:alignment vertical="center" wrapText="1"/>
    </x:xf>
    <x:xf numFmtId="0" fontId="7" fillId="4" borderId="9" xfId="1" applyFont="1" applyFill="1" applyBorder="1" applyAlignment="1">
      <x:alignment vertical="center" wrapText="1"/>
    </x:xf>
    <x:xf numFmtId="0" fontId="9" fillId="6" borderId="10" xfId="1" applyFont="1" applyFill="1" applyBorder="1" applyAlignment="1">
      <x:alignment vertical="center"/>
    </x:xf>
    <x:xf numFmtId="0" fontId="9" fillId="6" borderId="11" xfId="1" applyFont="1" applyFill="1" applyBorder="1" applyAlignment="1">
      <x:alignment vertical="center"/>
    </x:xf>
    <x:xf numFmtId="0" fontId="9" fillId="6" borderId="12" xfId="1" applyFont="1" applyFill="1" applyBorder="1" applyAlignment="1">
      <x:alignment vertical="center"/>
    </x:xf>
    <x:xf numFmtId="177" fontId="9" fillId="6" borderId="13" xfId="1" applyNumberFormat="1" applyFont="1" applyFill="1" applyBorder="1" applyAlignment="1">
      <x:alignment vertical="center"/>
    </x:xf>
    <x:xf numFmtId="0" fontId="9" fillId="6" borderId="14" xfId="1" applyFont="1" applyFill="1" applyBorder="1" applyAlignment="1">
      <x:alignment vertical="center"/>
    </x:xf>
    <x:xf numFmtId="0" fontId="9" fillId="6" borderId="15" xfId="1" applyFont="1" applyFill="1" applyBorder="1" applyAlignment="1">
      <x:alignment vertical="center"/>
    </x:xf>
    <x:xf numFmtId="0" fontId="11" fillId="2" borderId="0" xfId="1" applyFont="1" applyFill="1" applyAlignment="1">
      <x:alignment vertical="center"/>
    </x:xf>
    <x:xf numFmtId="0" fontId="7" fillId="0" borderId="0" xfId="1" applyFont="1" applyAlignment="1">
      <x:alignment vertical="center" wrapText="1"/>
    </x:xf>
    <x:xf numFmtId="0" fontId="12" fillId="2" borderId="0" xfId="1" applyFont="1" applyFill="1" applyAlignment="1">
      <x:alignment vertical="center"/>
    </x:xf>
    <x:xf numFmtId="0" fontId="13" fillId="7" borderId="0" xfId="1" applyFont="1" applyFill="1" applyAlignment="1">
      <x:alignment vertical="center"/>
    </x:xf>
    <x:xf numFmtId="0" fontId="18" fillId="2" borderId="0" xfId="1" applyFont="1" applyFill="1" applyAlignment="1">
      <x:alignment vertical="center"/>
    </x:xf>
    <x:xf numFmtId="0" fontId="1" fillId="3" borderId="0" xfId="1" applyFont="1" applyFill="1"/>
    <x:xf numFmtId="0" fontId="2" fillId="0" borderId="0" xfId="1" applyFont="1" applyAlignment="1">
      <x:alignment wrapText="1"/>
    </x:xf>
    <x:xf numFmtId="0" fontId="22" fillId="6" borderId="0" xfId="1" applyFont="1" applyFill="1" applyAlignment="1">
      <x:alignment vertical="top" wrapText="1"/>
    </x:xf>
    <x:xf numFmtId="200" fontId="9" fillId="6" borderId="13" xfId="0" applyNumberFormat="1" applyFont="1" applyFill="1" applyBorder="1" applyAlignment="1">
      <x:alignment vertical="center"/>
    </x:xf>
  </x:cellXfs>
  <x:cellStyles count="2">
    <x:cellStyle name="Normal" xfId="1"/>
    <x:cellStyle name="常规" xfId="0"/>
  </x:cellStyles>
  <x:dxfs count="5"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d6f399e30b4bb8" /><Relationship Type="http://schemas.openxmlformats.org/officeDocument/2006/relationships/theme" Target="/xl/theme/theme1.xml" Id="Rc7557f0166d045e6" /><Relationship Type="http://schemas.openxmlformats.org/officeDocument/2006/relationships/sharedStrings" Target="/xl/sharedStrings.xml" Id="Rf8b49be5283c4f05" /><Relationship Type="http://schemas.openxmlformats.org/officeDocument/2006/relationships/worksheet" Target="/xl/worksheets/sheet1.xml" Id="R84b59d86e6a34a98" /><Relationship Type="http://schemas.openxmlformats.org/officeDocument/2006/relationships/worksheet" Target="/xl/worksheets/sheet2.xml" Id="R6a124aca762a4144" /><Relationship Type="http://schemas.openxmlformats.org/officeDocument/2006/relationships/worksheet" Target="/xl/worksheets/sheet3.xml" Id="R3b759df6e62a485e" /><Relationship Type="http://schemas.openxmlformats.org/officeDocument/2006/relationships/worksheet" Target="/xl/worksheets/sheet4.xml" Id="R80a4c468308942b4" /></Relationships>
</file>

<file path=xl/tables/table1.xml><?xml version="1.0" encoding="utf-8"?>
<x:table xmlns:x="http://schemas.openxmlformats.org/spreadsheetml/2006/main" id="1" name="SemanticAuditTable" displayName="SemanticAuditTable" ref="A4:Z52" totalsRowShown="0">
  <x:tableColumns count="26">
    <x:tableColumn id="1" name="audit_row_id"/>
    <x:tableColumn id="2" name="case_id"/>
    <x:tableColumn id="3" name="model_role"/>
    <x:tableColumn id="4" name="model"/>
    <x:tableColumn id="5" name="state_summary"/>
    <x:tableColumn id="6" name="conversation"/>
    <x:tableColumn id="7" name="recent_activities"/>
    <x:tableColumn id="8" name="source_evidence_quote"/>
    <x:tableColumn id="9" name="tags"/>
    <x:tableColumn id="10" name="stage_a_status"/>
    <x:tableColumn id="11" name="error_type"/>
    <x:tableColumn id="12" name="evidence_status"/>
    <x:tableColumn id="13" name="formed_action"/>
    <x:tableColumn id="14" name="formed_object"/>
    <x:tableColumn id="15" name="desired_experience"/>
    <x:tableColumn id="16" name="qualifiers"/>
    <x:tableColumn id="17" name="alternative_actions"/>
    <x:tableColumn id="18" name="formed_horizon"/>
    <x:tableColumn id="19" name="reason_short"/>
    <x:tableColumn id="20" name="action_rating"/>
    <x:tableColumn id="21" name="object_rating"/>
    <x:tableColumn id="22" name="horizon_rating"/>
    <x:tableColumn id="23" name="reviewer_note"/>
    <x:tableColumn id="24" name="reviewer_id"/>
    <x:tableColumn id="25" name="reviewed_at"/>
    <x:tableColumn id="26" name="row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ba2d8b257c44c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3.83203125" customWidth="1"/>
    <x:col min="2" max="4" width="12.1640625" customWidth="1"/>
    <x:col min="5" max="5" width="2.6640625" customWidth="1"/>
    <x:col min="6" max="6" width="14.5" customWidth="1"/>
    <x:col min="7" max="8" width="12.83203125" customWidth="1"/>
  </x:cols>
  <x:sheetData>
    <x:row r="1" ht="25.5" customHeight="1">
      <x:c r="A1" s="56" t="s">
        <x:v>0</x:v>
      </x:c>
      <x:c r="B1" s="56"/>
      <x:c r="C1" s="56"/>
      <x:c r="D1" s="56"/>
      <x:c r="E1" s="56"/>
      <x:c r="F1" s="56"/>
      <x:c r="G1" s="56"/>
      <x:c r="H1" s="56"/>
    </x:row>
    <x:row r="2" ht="25.5" customHeight="1">
      <x:c r="A2" s="56"/>
      <x:c r="B2" s="56"/>
      <x:c r="C2" s="56"/>
      <x:c r="D2" s="56"/>
      <x:c r="E2" s="56"/>
      <x:c r="F2" s="56"/>
      <x:c r="G2" s="56"/>
      <x:c r="H2" s="56"/>
    </x:row>
    <x:row r="3" ht="15">
      <x:c r="A3" s="7"/>
      <x:c r="B3" s="7"/>
      <x:c r="C3" s="7"/>
      <x:c r="D3" s="7"/>
      <x:c r="E3" s="7"/>
      <x:c r="F3" s="7"/>
      <x:c r="G3" s="7"/>
      <x:c r="H3" s="7"/>
    </x:row>
    <x:row r="4" ht="16">
      <x:c r="A4" s="57" t="s">
        <x:v>1</x:v>
      </x:c>
      <x:c r="B4" s="57"/>
      <x:c r="C4" s="57"/>
      <x:c r="D4" s="57"/>
      <x:c r="E4" s="7"/>
      <x:c r="F4" s="57" t="s">
        <x:v>2</x:v>
      </x:c>
      <x:c r="G4" s="57"/>
      <x:c r="H4" s="57"/>
    </x:row>
    <x:row r="5" ht="31.5" customHeight="1">
      <x:c r="A5" s="58" t="s">
        <x:v>3</x:v>
      </x:c>
      <x:c r="B5" s="59"/>
      <x:c r="C5" s="59"/>
      <x:c r="D5" s="60"/>
      <x:c r="E5" s="7"/>
      <x:c r="F5" s="8" t="s">
        <x:v>4</x:v>
      </x:c>
      <x:c r="G5" s="9" t="n">
        <x:f>ROWS(Audit!$A$5:$A$52)</x:f>
        <x:v>48</x:v>
      </x:c>
      <x:c r="H5" s="7"/>
    </x:row>
    <x:row r="6" ht="31.5" customHeight="1">
      <x:c r="A6" s="61" t="s">
        <x:v>5</x:v>
      </x:c>
      <x:c r="B6" s="62"/>
      <x:c r="C6" s="62"/>
      <x:c r="D6" s="63"/>
      <x:c r="E6" s="7"/>
      <x:c r="F6" s="10" t="s">
        <x:v>6</x:v>
      </x:c>
      <x:c r="G6" s="11" t="n">
        <x:f>COUNTIF(Audit!$Z$5:$Z$52,"complete")</x:f>
        <x:v>48</x:v>
      </x:c>
      <x:c r="H6" s="7"/>
    </x:row>
    <x:row r="7" ht="31.5" customHeight="1">
      <x:c r="A7" s="61" t="s">
        <x:v>7</x:v>
      </x:c>
      <x:c r="B7" s="62"/>
      <x:c r="C7" s="62"/>
      <x:c r="D7" s="63"/>
      <x:c r="E7" s="7"/>
      <x:c r="F7" s="10" t="s">
        <x:v>8</x:v>
      </x:c>
      <x:c r="G7" s="11" t="n">
        <x:f>G5-G6</x:f>
        <x:v>0</x:v>
      </x:c>
      <x:c r="H7" s="7"/>
    </x:row>
    <x:row r="8" ht="31.5" customHeight="1">
      <x:c r="A8" s="64" t="s">
        <x:v>9</x:v>
      </x:c>
      <x:c r="B8" s="65"/>
      <x:c r="C8" s="65"/>
      <x:c r="D8" s="66"/>
      <x:c r="E8" s="7"/>
      <x:c r="F8" s="10" t="s">
        <x:v>10</x:v>
      </x:c>
      <x:c r="G8" s="12" t="n">
        <x:f>IF(G5=0,0,G6/G5)</x:f>
        <x:v>1</x:v>
      </x:c>
      <x:c r="H8" s="7"/>
    </x:row>
    <x:row r="9" ht="16">
      <x:c r="A9" s="7"/>
      <x:c r="B9" s="7"/>
      <x:c r="C9" s="7"/>
      <x:c r="D9" s="7"/>
      <x:c r="E9" s="7"/>
      <x:c r="F9" s="13" t="s">
        <x:v>11</x:v>
      </x:c>
      <x:c r="G9" s="14" t="n">
        <x:f>COUNTIF(Audit!$J$5:$J$52,"&lt;&gt;success")</x:f>
        <x:v>17</x:v>
      </x:c>
      <x:c r="H9" s="7"/>
    </x:row>
    <x:row r="10" ht="16">
      <x:c r="A10" s="57" t="s">
        <x:v>12</x:v>
      </x:c>
      <x:c r="B10" s="57"/>
      <x:c r="C10" s="57"/>
      <x:c r="D10" s="57"/>
      <x:c r="E10" s="7"/>
      <x:c r="F10" s="7"/>
      <x:c r="G10" s="7"/>
      <x:c r="H10" s="7"/>
    </x:row>
    <x:row r="11" ht="15">
      <x:c r="A11" s="15" t="s">
        <x:v>13</x:v>
      </x:c>
      <x:c r="B11" s="67" t="s">
        <x:v>14</x:v>
      </x:c>
      <x:c r="C11" s="68"/>
      <x:c r="D11" s="69"/>
      <x:c r="E11" s="7"/>
      <x:c r="F11" s="16" t="s">
        <x:v>15</x:v>
      </x:c>
      <x:c r="G11" s="17" t="s">
        <x:v>16</x:v>
      </x:c>
      <x:c r="H11" s="18" t="s">
        <x:v>17</x:v>
      </x:c>
    </x:row>
    <x:row r="12" ht="15">
      <x:c r="A12" s="15" t="s">
        <x:v>18</x:v>
      </x:c>
      <x:c r="B12" s="81" t="n">
        <x:f>DATE(2026,8,23)</x:f>
        <x:v>46257</x:v>
      </x:c>
      <x:c r="C12" s="71"/>
      <x:c r="D12" s="72"/>
      <x:c r="E12" s="7"/>
      <x:c r="F12" s="10" t="s">
        <x:v>19</x:v>
      </x:c>
      <x:c r="G12" s="19" t="n">
        <x:f>COUNTIF(Audit!$T$5:$T$52,"preserved")</x:f>
        <x:v>31</x:v>
      </x:c>
      <x:c r="H12" s="20" t="n">
        <x:f>COUNTIF(Audit!$T$5:$T$52,"partial")+COUNTIF(Audit!$T$5:$T$52,"lost")</x:f>
        <x:v>17</x:v>
      </x:c>
    </x:row>
    <x:row r="13" ht="15">
      <x:c r="A13" s="7"/>
      <x:c r="B13" s="7"/>
      <x:c r="C13" s="7"/>
      <x:c r="D13" s="7"/>
      <x:c r="E13" s="7"/>
      <x:c r="F13" s="10" t="s">
        <x:v>20</x:v>
      </x:c>
      <x:c r="G13" s="19" t="n">
        <x:f>COUNTIF(Audit!$U$5:$U$52,"preserved")</x:f>
        <x:v>22</x:v>
      </x:c>
      <x:c r="H13" s="20" t="n">
        <x:f>COUNTIF(Audit!$U$5:$U$52,"partial")+COUNTIF(Audit!$U$5:$U$52,"lost")</x:f>
        <x:v>26</x:v>
      </x:c>
    </x:row>
    <x:row r="14" ht="15">
      <x:c r="A14" s="7"/>
      <x:c r="B14" s="7"/>
      <x:c r="C14" s="7"/>
      <x:c r="D14" s="7"/>
      <x:c r="E14" s="7"/>
      <x:c r="F14" s="13" t="s">
        <x:v>21</x:v>
      </x:c>
      <x:c r="G14" s="21" t="n">
        <x:f>COUNTIF(Audit!$V$5:$V$52,"preserved")</x:f>
        <x:v>30</x:v>
      </x:c>
      <x:c r="H14" s="22" t="n">
        <x:f>COUNTIF(Audit!$V$5:$V$52,"partial")+COUNTIF(Audit!$V$5:$V$52,"lost")</x:f>
        <x:v>18</x:v>
      </x:c>
    </x:row>
    <x:row r="15" ht="15">
      <x:c r="A15" s="7"/>
      <x:c r="B15" s="7"/>
      <x:c r="C15" s="7"/>
      <x:c r="D15" s="7"/>
      <x:c r="E15" s="7"/>
      <x:c r="F15" s="7"/>
      <x:c r="G15" s="7"/>
      <x:c r="H15" s="7"/>
    </x:row>
    <x:row r="16" ht="16">
      <x:c r="A16" s="73" t="s">
        <x:v>22</x:v>
      </x:c>
      <x:c r="B16" s="73"/>
      <x:c r="C16" s="73"/>
      <x:c r="D16" s="73"/>
      <x:c r="E16" s="73"/>
      <x:c r="F16" s="73"/>
      <x:c r="G16" s="73"/>
      <x:c r="H16" s="73"/>
    </x:row>
    <x:row r="17" ht="22.5" customHeight="1">
      <x:c r="A17" s="74" t="s">
        <x:v>23</x:v>
      </x:c>
      <x:c r="B17" s="74"/>
      <x:c r="C17" s="74"/>
      <x:c r="D17" s="74"/>
      <x:c r="E17" s="74"/>
      <x:c r="F17" s="74"/>
      <x:c r="G17" s="74"/>
      <x:c r="H17" s="74"/>
    </x:row>
    <x:row r="18" ht="22.5" customHeight="1">
      <x:c r="A18" s="74" t="s">
        <x:v>24</x:v>
      </x:c>
      <x:c r="B18" s="74"/>
      <x:c r="C18" s="74"/>
      <x:c r="D18" s="74"/>
      <x:c r="E18" s="74"/>
      <x:c r="F18" s="74"/>
      <x:c r="G18" s="74"/>
      <x:c r="H18" s="74"/>
    </x:row>
    <x:row r="19" ht="22.5" customHeight="1">
      <x:c r="A19" s="74" t="s">
        <x:v>25</x:v>
      </x:c>
      <x:c r="B19" s="74"/>
      <x:c r="C19" s="74"/>
      <x:c r="D19" s="74"/>
      <x:c r="E19" s="74"/>
      <x:c r="F19" s="74"/>
      <x:c r="G19" s="74"/>
      <x:c r="H19" s="74"/>
    </x:row>
    <x:row r="20" ht="22.5" customHeight="1">
      <x:c r="A20" s="74" t="s">
        <x:v>26</x:v>
      </x:c>
      <x:c r="B20" s="74"/>
      <x:c r="C20" s="74"/>
      <x:c r="D20" s="74"/>
      <x:c r="E20" s="74"/>
      <x:c r="F20" s="74"/>
      <x:c r="G20" s="74"/>
      <x:c r="H20" s="74"/>
    </x:row>
  </x:sheetData>
  <x:mergeCells>
    <x:mergeCell ref="A16:H16"/>
    <x:mergeCell ref="A17:H17"/>
    <x:mergeCell ref="A18:H18"/>
    <x:mergeCell ref="A19:H19"/>
    <x:mergeCell ref="A20:H20"/>
    <x:mergeCell ref="A8:D8"/>
    <x:mergeCell ref="F4:H4"/>
    <x:mergeCell ref="A10:D10"/>
    <x:mergeCell ref="B11:D11"/>
    <x:mergeCell ref="B12:D12"/>
    <x:mergeCell ref="A1:H2"/>
    <x:mergeCell ref="A4:D4"/>
    <x:mergeCell ref="A5:D5"/>
    <x:mergeCell ref="A6:D6"/>
    <x:mergeCell ref="A7:D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6.6640625" customWidth="1"/>
    <x:col min="2" max="2" width="15.5" customWidth="1"/>
    <x:col min="3" max="3" width="15" customWidth="1"/>
    <x:col min="4" max="4" width="16.1640625" customWidth="1"/>
    <x:col min="5" max="5" width="21.1640625" customWidth="1"/>
    <x:col min="6" max="6" width="40" customWidth="1"/>
    <x:col min="7" max="7" width="17.83203125" customWidth="1"/>
    <x:col min="8" max="8" width="26.6640625" customWidth="1"/>
    <x:col min="9" max="9" width="19.5" customWidth="1"/>
    <x:col min="10" max="11" width="11.6640625" customWidth="1"/>
    <x:col min="12" max="12" width="12.1640625" customWidth="1"/>
    <x:col min="13" max="13" width="20" customWidth="1"/>
    <x:col min="14" max="14" width="18.33203125" customWidth="1"/>
    <x:col min="15" max="15" width="22.1640625" customWidth="1"/>
    <x:col min="16" max="17" width="21.1640625" customWidth="1"/>
    <x:col min="18" max="18" width="11.6640625" customWidth="1"/>
    <x:col min="19" max="19" width="26.6640625" customWidth="1"/>
    <x:col min="20" max="22" width="11.6640625" customWidth="1"/>
    <x:col min="23" max="23" width="26.6640625" customWidth="1"/>
    <x:col min="24" max="25" width="16.1640625" customWidth="1"/>
    <x:col min="26" max="26" width="10.5" customWidth="1"/>
  </x:cols>
  <x:sheetData>
    <x:row r="1" ht="24" customHeight="1">
      <x:c r="A1" s="75" t="s">
        <x:v>27</x:v>
      </x:c>
      <x:c r="B1" s="75"/>
      <x:c r="C1" s="75"/>
      <x:c r="D1" s="75"/>
      <x:c r="E1" s="75"/>
      <x:c r="F1" s="75"/>
      <x:c r="G1" s="75"/>
      <x:c r="H1" s="75"/>
      <x:c r="I1" s="75"/>
      <x:c r="J1" s="75"/>
      <x:c r="K1" s="75"/>
      <x:c r="L1" s="75"/>
      <x:c r="M1" s="75"/>
      <x:c r="N1" s="75"/>
      <x:c r="O1" s="75"/>
      <x:c r="P1" s="75"/>
      <x:c r="Q1" s="75"/>
      <x:c r="R1" s="75"/>
      <x:c r="S1" s="75"/>
      <x:c r="T1" s="75"/>
      <x:c r="U1" s="75"/>
      <x:c r="V1" s="75"/>
      <x:c r="W1" s="75"/>
      <x:c r="X1" s="75"/>
      <x:c r="Y1" s="75"/>
      <x:c r="Z1" s="75"/>
    </x:row>
    <x:row r="2" ht="24" customHeight="1">
      <x:c r="A2" s="75"/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  <x:c r="M2" s="75"/>
      <x:c r="N2" s="75"/>
      <x:c r="O2" s="75"/>
      <x:c r="P2" s="75"/>
      <x:c r="Q2" s="75"/>
      <x:c r="R2" s="75"/>
      <x:c r="S2" s="75"/>
      <x:c r="T2" s="75"/>
      <x:c r="U2" s="75"/>
      <x:c r="V2" s="75"/>
      <x:c r="W2" s="75"/>
      <x:c r="X2" s="75"/>
      <x:c r="Y2" s="75"/>
      <x:c r="Z2" s="75"/>
    </x:row>
    <x:row r="3" ht="21" customHeight="1">
      <x:c r="A3" s="76" t="s">
        <x:v>28</x:v>
      </x:c>
      <x:c r="B3" s="76"/>
      <x:c r="C3" s="76"/>
      <x:c r="D3" s="76"/>
      <x:c r="E3" s="76"/>
      <x:c r="F3" s="76"/>
      <x:c r="G3" s="76"/>
      <x:c r="H3" s="76"/>
      <x:c r="I3" s="76"/>
      <x:c r="J3" s="76"/>
      <x:c r="K3" s="76"/>
      <x:c r="L3" s="76"/>
      <x:c r="M3" s="76"/>
      <x:c r="N3" s="76"/>
      <x:c r="O3" s="76"/>
      <x:c r="P3" s="76"/>
      <x:c r="Q3" s="76"/>
      <x:c r="R3" s="76"/>
      <x:c r="S3" s="76"/>
      <x:c r="T3" s="76"/>
      <x:c r="U3" s="76"/>
      <x:c r="V3" s="76"/>
      <x:c r="W3" s="76"/>
      <x:c r="X3" s="76"/>
      <x:c r="Y3" s="76"/>
      <x:c r="Z3" s="76"/>
    </x:row>
    <x:row r="4" ht="36" customHeight="1">
      <x:c r="A4" s="23" t="s">
        <x:v>29</x:v>
      </x:c>
      <x:c r="B4" s="23" t="s">
        <x:v>30</x:v>
      </x:c>
      <x:c r="C4" s="23" t="s">
        <x:v>31</x:v>
      </x:c>
      <x:c r="D4" s="23" t="s">
        <x:v>32</x:v>
      </x:c>
      <x:c r="E4" s="23" t="s">
        <x:v>33</x:v>
      </x:c>
      <x:c r="F4" s="23" t="s">
        <x:v>34</x:v>
      </x:c>
      <x:c r="G4" s="23" t="s">
        <x:v>35</x:v>
      </x:c>
      <x:c r="H4" s="23" t="s">
        <x:v>36</x:v>
      </x:c>
      <x:c r="I4" s="23" t="s">
        <x:v>37</x:v>
      </x:c>
      <x:c r="J4" s="23" t="s">
        <x:v>38</x:v>
      </x:c>
      <x:c r="K4" s="23" t="s">
        <x:v>39</x:v>
      </x:c>
      <x:c r="L4" s="23" t="s">
        <x:v>40</x:v>
      </x:c>
      <x:c r="M4" s="23" t="s">
        <x:v>41</x:v>
      </x:c>
      <x:c r="N4" s="23" t="s">
        <x:v>42</x:v>
      </x:c>
      <x:c r="O4" s="23" t="s">
        <x:v>43</x:v>
      </x:c>
      <x:c r="P4" s="23" t="s">
        <x:v>44</x:v>
      </x:c>
      <x:c r="Q4" s="23" t="s">
        <x:v>45</x:v>
      </x:c>
      <x:c r="R4" s="23" t="s">
        <x:v>46</x:v>
      </x:c>
      <x:c r="S4" s="23" t="s">
        <x:v>47</x:v>
      </x:c>
      <x:c r="T4" s="23" t="s">
        <x:v>48</x:v>
      </x:c>
      <x:c r="U4" s="23" t="s">
        <x:v>49</x:v>
      </x:c>
      <x:c r="V4" s="23" t="s">
        <x:v>50</x:v>
      </x:c>
      <x:c r="W4" s="23" t="s">
        <x:v>51</x:v>
      </x:c>
      <x:c r="X4" s="23" t="s">
        <x:v>52</x:v>
      </x:c>
      <x:c r="Y4" s="23" t="s">
        <x:v>53</x:v>
      </x:c>
      <x:c r="Z4" s="23" t="s">
        <x:v>54</x:v>
      </x:c>
    </x:row>
    <x:row r="5" ht="57" customHeight="1">
      <x:c r="A5" s="27" t="s">
        <x:v>55</x:v>
      </x:c>
      <x:c r="B5" s="27" t="s">
        <x:v>56</x:v>
      </x:c>
      <x:c r="C5" s="27" t="s">
        <x:v>57</x:v>
      </x:c>
      <x:c r="D5" s="27" t="s">
        <x:v>58</x:v>
      </x:c>
      <x:c r="E5" s="26" t="s">
        <x:v>59</x:v>
      </x:c>
      <x:c r="F5" s="26" t="s">
        <x:v>60</x:v>
      </x:c>
      <x:c r="G5" s="26" t="s">
        <x:v>61</x:v>
      </x:c>
      <x:c r="H5" s="26" t="s">
        <x:v>62</x:v>
      </x:c>
      <x:c r="I5" s="26" t="s">
        <x:v>63</x:v>
      </x:c>
      <x:c r="J5" s="26" t="s">
        <x:v>64</x:v>
      </x:c>
      <x:c r="K5" s="26" t="s">
        <x:v>61</x:v>
      </x:c>
      <x:c r="L5" s="26" t="s">
        <x:v>65</x:v>
      </x:c>
      <x:c r="M5" s="26" t="s">
        <x:v>66</x:v>
      </x:c>
      <x:c r="N5" s="26" t="s">
        <x:v>67</x:v>
      </x:c>
      <x:c r="O5" s="26" t="s">
        <x:v>68</x:v>
      </x:c>
      <x:c r="P5" s="26" t="s">
        <x:v>69</x:v>
      </x:c>
      <x:c r="Q5" s="26" t="s">
        <x:v>61</x:v>
      </x:c>
      <x:c r="R5" s="26" t="s">
        <x:v>70</x:v>
      </x:c>
      <x:c r="S5" s="26" t="s">
        <x:v>71</x:v>
      </x:c>
      <x:c r="T5" s="28" t="s">
        <x:v>16</x:v>
      </x:c>
      <x:c r="U5" s="28" t="s">
        <x:v>16</x:v>
      </x:c>
      <x:c r="V5" s="28" t="s">
        <x:v>16</x:v>
      </x:c>
      <x:c r="W5" s="24"/>
      <x:c r="X5" s="25" t="str">
        <x:f>IF(Guide!$B$11="","",Guide!$B$11)</x:f>
        <x:v>skedushwang</x:v>
      </x:c>
      <x:c r="Y5" s="29" t="n">
        <x:f>IF(Guide!$B$12="","",Guide!$B$12)</x:f>
        <x:v>46257</x:v>
      </x:c>
      <x:c r="Z5" s="25" t="str">
        <x:f t="shared" ref="Z5:Z52" si="0">IF(AND(COUNTIF(T5:V5,"preserved")+COUNTIF(T5:V5,"partial")+COUNTIF(T5:V5,"lost")=3,LEN(TRIM(X5))&gt;0,ISNUMBER(Y5),OR(COUNTIF(T5:V5,"partial")+COUNTIF(T5:V5,"lost")=0,LEN(TRIM(W5))&gt;0)),"complete","pending")</x:f>
        <x:v>complete</x:v>
      </x:c>
    </x:row>
    <x:row r="6" ht="57" customHeight="1">
      <x:c r="A6" s="27" t="s">
        <x:v>72</x:v>
      </x:c>
      <x:c r="B6" s="27" t="s">
        <x:v>56</x:v>
      </x:c>
      <x:c r="C6" s="27" t="s">
        <x:v>73</x:v>
      </x:c>
      <x:c r="D6" s="27" t="s">
        <x:v>74</x:v>
      </x:c>
      <x:c r="E6" s="26" t="s">
        <x:v>59</x:v>
      </x:c>
      <x:c r="F6" s="26" t="s">
        <x:v>60</x:v>
      </x:c>
      <x:c r="G6" s="26" t="s">
        <x:v>61</x:v>
      </x:c>
      <x:c r="H6" s="26" t="s">
        <x:v>62</x:v>
      </x:c>
      <x:c r="I6" s="26" t="s">
        <x:v>63</x:v>
      </x:c>
      <x:c r="J6" s="26" t="s">
        <x:v>75</x:v>
      </x:c>
      <x:c r="K6" s="26" t="s">
        <x:v>76</x:v>
      </x:c>
      <x:c r="L6" s="26" t="s">
        <x:v>61</x:v>
      </x:c>
      <x:c r="M6" s="26" t="s">
        <x:v>61</x:v>
      </x:c>
      <x:c r="N6" s="26" t="s">
        <x:v>61</x:v>
      </x:c>
      <x:c r="O6" s="26" t="s">
        <x:v>61</x:v>
      </x:c>
      <x:c r="P6" s="26" t="s">
        <x:v>61</x:v>
      </x:c>
      <x:c r="Q6" s="26" t="s">
        <x:v>61</x:v>
      </x:c>
      <x:c r="R6" s="26" t="s">
        <x:v>61</x:v>
      </x:c>
      <x:c r="S6" s="26" t="s">
        <x:v>61</x:v>
      </x:c>
      <x:c r="T6" s="28" t="s">
        <x:v>77</x:v>
      </x:c>
      <x:c r="U6" s="28" t="s">
        <x:v>77</x:v>
      </x:c>
      <x:c r="V6" s="28" t="s">
        <x:v>77</x:v>
      </x:c>
      <x:c r="W6" s="24" t="s">
        <x:v>78</x:v>
      </x:c>
      <x:c r="X6" s="25" t="str">
        <x:f>IF(Guide!$B$11="","",Guide!$B$11)</x:f>
        <x:v>skedushwang</x:v>
      </x:c>
      <x:c r="Y6" s="29" t="n">
        <x:f>IF(Guide!$B$12="","",Guide!$B$12)</x:f>
        <x:v>46257</x:v>
      </x:c>
      <x:c r="Z6" s="25" t="str">
        <x:f t="shared" si="0">IF(AND(COUNTIF(T6:V6,"preserved")+COUNTIF(T6:V6,"partial")+COUNTIF(T6:V6,"lost")=3,LEN(TRIM(X6))&gt;0,ISNUMBER(Y6),OR(COUNTIF(T6:V6,"partial")+COUNTIF(T6:V6,"lost")=0,LEN(TRIM(W6))&gt;0)),"complete","pending")</x:f>
        <x:v>complete</x:v>
      </x:c>
    </x:row>
    <x:row r="7" ht="57" customHeight="1">
      <x:c r="A7" s="27" t="s">
        <x:v>79</x:v>
      </x:c>
      <x:c r="B7" s="27" t="s">
        <x:v>80</x:v>
      </x:c>
      <x:c r="C7" s="27" t="s">
        <x:v>57</x:v>
      </x:c>
      <x:c r="D7" s="27" t="s">
        <x:v>58</x:v>
      </x:c>
      <x:c r="E7" s="26" t="s">
        <x:v>59</x:v>
      </x:c>
      <x:c r="F7" s="26" t="s">
        <x:v>81</x:v>
      </x:c>
      <x:c r="G7" s="26" t="s">
        <x:v>61</x:v>
      </x:c>
      <x:c r="H7" s="26" t="s">
        <x:v>82</x:v>
      </x:c>
      <x:c r="I7" s="26" t="s">
        <x:v>83</x:v>
      </x:c>
      <x:c r="J7" s="26" t="s">
        <x:v>64</x:v>
      </x:c>
      <x:c r="K7" s="26" t="s">
        <x:v>61</x:v>
      </x:c>
      <x:c r="L7" s="26" t="s">
        <x:v>65</x:v>
      </x:c>
      <x:c r="M7" s="26" t="s">
        <x:v>84</x:v>
      </x:c>
      <x:c r="N7" s="26" t="s">
        <x:v>85</x:v>
      </x:c>
      <x:c r="O7" s="26" t="s">
        <x:v>86</x:v>
      </x:c>
      <x:c r="P7" s="26" t="s">
        <x:v>87</x:v>
      </x:c>
      <x:c r="Q7" s="26" t="s">
        <x:v>61</x:v>
      </x:c>
      <x:c r="R7" s="26" t="s">
        <x:v>70</x:v>
      </x:c>
      <x:c r="S7" s="26" t="s">
        <x:v>88</x:v>
      </x:c>
      <x:c r="T7" s="28" t="s">
        <x:v>16</x:v>
      </x:c>
      <x:c r="U7" s="28" t="s">
        <x:v>16</x:v>
      </x:c>
      <x:c r="V7" s="28" t="s">
        <x:v>16</x:v>
      </x:c>
      <x:c r="W7" s="24"/>
      <x:c r="X7" s="25" t="str">
        <x:f>IF(Guide!$B$11="","",Guide!$B$11)</x:f>
        <x:v>skedushwang</x:v>
      </x:c>
      <x:c r="Y7" s="29" t="n">
        <x:f>IF(Guide!$B$12="","",Guide!$B$12)</x:f>
        <x:v>46257</x:v>
      </x:c>
      <x:c r="Z7" s="25" t="str">
        <x:f t="shared" si="0">IF(AND(COUNTIF(T7:V7,"preserved")+COUNTIF(T7:V7,"partial")+COUNTIF(T7:V7,"lost")=3,LEN(TRIM(X7))&gt;0,ISNUMBER(Y7),OR(COUNTIF(T7:V7,"partial")+COUNTIF(T7:V7,"lost")=0,LEN(TRIM(W7))&gt;0)),"complete","pending")</x:f>
        <x:v>complete</x:v>
      </x:c>
    </x:row>
    <x:row r="8" ht="57" customHeight="1">
      <x:c r="A8" s="27" t="s">
        <x:v>89</x:v>
      </x:c>
      <x:c r="B8" s="27" t="s">
        <x:v>80</x:v>
      </x:c>
      <x:c r="C8" s="27" t="s">
        <x:v>73</x:v>
      </x:c>
      <x:c r="D8" s="27" t="s">
        <x:v>74</x:v>
      </x:c>
      <x:c r="E8" s="26" t="s">
        <x:v>59</x:v>
      </x:c>
      <x:c r="F8" s="26" t="s">
        <x:v>81</x:v>
      </x:c>
      <x:c r="G8" s="26" t="s">
        <x:v>61</x:v>
      </x:c>
      <x:c r="H8" s="26" t="s">
        <x:v>82</x:v>
      </x:c>
      <x:c r="I8" s="26" t="s">
        <x:v>83</x:v>
      </x:c>
      <x:c r="J8" s="26" t="s">
        <x:v>75</x:v>
      </x:c>
      <x:c r="K8" s="26" t="s">
        <x:v>76</x:v>
      </x:c>
      <x:c r="L8" s="26" t="s">
        <x:v>61</x:v>
      </x:c>
      <x:c r="M8" s="26" t="s">
        <x:v>61</x:v>
      </x:c>
      <x:c r="N8" s="26" t="s">
        <x:v>61</x:v>
      </x:c>
      <x:c r="O8" s="26" t="s">
        <x:v>61</x:v>
      </x:c>
      <x:c r="P8" s="26" t="s">
        <x:v>61</x:v>
      </x:c>
      <x:c r="Q8" s="26" t="s">
        <x:v>61</x:v>
      </x:c>
      <x:c r="R8" s="26" t="s">
        <x:v>61</x:v>
      </x:c>
      <x:c r="S8" s="26" t="s">
        <x:v>61</x:v>
      </x:c>
      <x:c r="T8" s="28" t="s">
        <x:v>77</x:v>
      </x:c>
      <x:c r="U8" s="28" t="s">
        <x:v>77</x:v>
      </x:c>
      <x:c r="V8" s="28" t="s">
        <x:v>77</x:v>
      </x:c>
      <x:c r="W8" s="24" t="s">
        <x:v>78</x:v>
      </x:c>
      <x:c r="X8" s="25" t="str">
        <x:f>IF(Guide!$B$11="","",Guide!$B$11)</x:f>
        <x:v>skedushwang</x:v>
      </x:c>
      <x:c r="Y8" s="29" t="n">
        <x:f>IF(Guide!$B$12="","",Guide!$B$12)</x:f>
        <x:v>46257</x:v>
      </x:c>
      <x:c r="Z8" s="25" t="str">
        <x:f t="shared" si="0">IF(AND(COUNTIF(T8:V8,"preserved")+COUNTIF(T8:V8,"partial")+COUNTIF(T8:V8,"lost")=3,LEN(TRIM(X8))&gt;0,ISNUMBER(Y8),OR(COUNTIF(T8:V8,"partial")+COUNTIF(T8:V8,"lost")=0,LEN(TRIM(W8))&gt;0)),"complete","pending")</x:f>
        <x:v>complete</x:v>
      </x:c>
    </x:row>
    <x:row r="9" ht="57" customHeight="1">
      <x:c r="A9" s="27" t="s">
        <x:v>90</x:v>
      </x:c>
      <x:c r="B9" s="27" t="s">
        <x:v>91</x:v>
      </x:c>
      <x:c r="C9" s="27" t="s">
        <x:v>57</x:v>
      </x:c>
      <x:c r="D9" s="27" t="s">
        <x:v>58</x:v>
      </x:c>
      <x:c r="E9" s="26" t="s">
        <x:v>59</x:v>
      </x:c>
      <x:c r="F9" s="26" t="s">
        <x:v>92</x:v>
      </x:c>
      <x:c r="G9" s="26" t="s">
        <x:v>61</x:v>
      </x:c>
      <x:c r="H9" s="26" t="s">
        <x:v>93</x:v>
      </x:c>
      <x:c r="I9" s="26" t="s">
        <x:v>94</x:v>
      </x:c>
      <x:c r="J9" s="26" t="s">
        <x:v>64</x:v>
      </x:c>
      <x:c r="K9" s="26" t="s">
        <x:v>61</x:v>
      </x:c>
      <x:c r="L9" s="26" t="s">
        <x:v>65</x:v>
      </x:c>
      <x:c r="M9" s="26" t="s">
        <x:v>95</x:v>
      </x:c>
      <x:c r="N9" s="26" t="s">
        <x:v>96</x:v>
      </x:c>
      <x:c r="O9" s="26" t="s">
        <x:v>97</x:v>
      </x:c>
      <x:c r="P9" s="26" t="s">
        <x:v>98</x:v>
      </x:c>
      <x:c r="Q9" s="26" t="s">
        <x:v>61</x:v>
      </x:c>
      <x:c r="R9" s="26" t="s">
        <x:v>70</x:v>
      </x:c>
      <x:c r="S9" s="26" t="s">
        <x:v>99</x:v>
      </x:c>
      <x:c r="T9" s="28" t="s">
        <x:v>16</x:v>
      </x:c>
      <x:c r="U9" s="28" t="s">
        <x:v>100</x:v>
      </x:c>
      <x:c r="V9" s="28" t="s">
        <x:v>16</x:v>
      </x:c>
      <x:c r="W9" s="80" t="s">
        <x:v>101</x:v>
      </x:c>
      <x:c r="X9" s="25" t="str">
        <x:f>IF(Guide!$B$11="","",Guide!$B$11)</x:f>
        <x:v>skedushwang</x:v>
      </x:c>
      <x:c r="Y9" s="29" t="n">
        <x:f>IF(Guide!$B$12="","",Guide!$B$12)</x:f>
        <x:v>46257</x:v>
      </x:c>
      <x:c r="Z9" s="25" t="str">
        <x:f t="shared" si="0">IF(AND(COUNTIF(T9:V9,"preserved")+COUNTIF(T9:V9,"partial")+COUNTIF(T9:V9,"lost")=3,LEN(TRIM(X9))&gt;0,ISNUMBER(Y9),OR(COUNTIF(T9:V9,"partial")+COUNTIF(T9:V9,"lost")=0,LEN(TRIM(W9))&gt;0)),"complete","pending")</x:f>
        <x:v>complete</x:v>
      </x:c>
    </x:row>
    <x:row r="10" ht="57" customHeight="1">
      <x:c r="A10" s="27" t="s">
        <x:v>102</x:v>
      </x:c>
      <x:c r="B10" s="27" t="s">
        <x:v>91</x:v>
      </x:c>
      <x:c r="C10" s="27" t="s">
        <x:v>73</x:v>
      </x:c>
      <x:c r="D10" s="27" t="s">
        <x:v>74</x:v>
      </x:c>
      <x:c r="E10" s="26" t="s">
        <x:v>59</x:v>
      </x:c>
      <x:c r="F10" s="26" t="s">
        <x:v>92</x:v>
      </x:c>
      <x:c r="G10" s="26" t="s">
        <x:v>61</x:v>
      </x:c>
      <x:c r="H10" s="26" t="s">
        <x:v>93</x:v>
      </x:c>
      <x:c r="I10" s="26" t="s">
        <x:v>94</x:v>
      </x:c>
      <x:c r="J10" s="26" t="s">
        <x:v>64</x:v>
      </x:c>
      <x:c r="K10" s="26" t="s">
        <x:v>61</x:v>
      </x:c>
      <x:c r="L10" s="26" t="s">
        <x:v>65</x:v>
      </x:c>
      <x:c r="M10" s="26" t="s">
        <x:v>103</x:v>
      </x:c>
      <x:c r="N10" s="26" t="s">
        <x:v>96</x:v>
      </x:c>
      <x:c r="O10" s="26" t="s">
        <x:v>104</x:v>
      </x:c>
      <x:c r="P10" s="26" t="s">
        <x:v>105</x:v>
      </x:c>
      <x:c r="Q10" s="26" t="s">
        <x:v>61</x:v>
      </x:c>
      <x:c r="R10" s="26" t="s">
        <x:v>70</x:v>
      </x:c>
      <x:c r="S10" s="26" t="s">
        <x:v>106</x:v>
      </x:c>
      <x:c r="T10" s="28" t="s">
        <x:v>16</x:v>
      </x:c>
      <x:c r="U10" s="28" t="s">
        <x:v>100</x:v>
      </x:c>
      <x:c r="V10" s="28" t="s">
        <x:v>16</x:v>
      </x:c>
      <x:c r="W10" s="80" t="s">
        <x:v>101</x:v>
      </x:c>
      <x:c r="X10" s="25" t="str">
        <x:f>IF(Guide!$B$11="","",Guide!$B$11)</x:f>
        <x:v>skedushwang</x:v>
      </x:c>
      <x:c r="Y10" s="29" t="n">
        <x:f>IF(Guide!$B$12="","",Guide!$B$12)</x:f>
        <x:v>46257</x:v>
      </x:c>
      <x:c r="Z10" s="25" t="str">
        <x:f t="shared" si="0">IF(AND(COUNTIF(T10:V10,"preserved")+COUNTIF(T10:V10,"partial")+COUNTIF(T10:V10,"lost")=3,LEN(TRIM(X10))&gt;0,ISNUMBER(Y10),OR(COUNTIF(T10:V10,"partial")+COUNTIF(T10:V10,"lost")=0,LEN(TRIM(W10))&gt;0)),"complete","pending")</x:f>
        <x:v>complete</x:v>
      </x:c>
    </x:row>
    <x:row r="11" ht="57" customHeight="1">
      <x:c r="A11" s="27" t="s">
        <x:v>107</x:v>
      </x:c>
      <x:c r="B11" s="27" t="s">
        <x:v>108</x:v>
      </x:c>
      <x:c r="C11" s="27" t="s">
        <x:v>57</x:v>
      </x:c>
      <x:c r="D11" s="27" t="s">
        <x:v>58</x:v>
      </x:c>
      <x:c r="E11" s="26" t="s">
        <x:v>109</x:v>
      </x:c>
      <x:c r="F11" s="26" t="s">
        <x:v>110</x:v>
      </x:c>
      <x:c r="G11" s="26" t="s">
        <x:v>61</x:v>
      </x:c>
      <x:c r="H11" s="26" t="s">
        <x:v>111</x:v>
      </x:c>
      <x:c r="I11" s="26" t="s">
        <x:v>112</x:v>
      </x:c>
      <x:c r="J11" s="26" t="s">
        <x:v>64</x:v>
      </x:c>
      <x:c r="K11" s="26" t="s">
        <x:v>61</x:v>
      </x:c>
      <x:c r="L11" s="26" t="s">
        <x:v>65</x:v>
      </x:c>
      <x:c r="M11" s="26" t="s">
        <x:v>113</x:v>
      </x:c>
      <x:c r="N11" s="26" t="s">
        <x:v>114</x:v>
      </x:c>
      <x:c r="O11" s="26" t="s">
        <x:v>115</x:v>
      </x:c>
      <x:c r="P11" s="26" t="s">
        <x:v>116</x:v>
      </x:c>
      <x:c r="Q11" s="26" t="s">
        <x:v>61</x:v>
      </x:c>
      <x:c r="R11" s="26" t="s">
        <x:v>70</x:v>
      </x:c>
      <x:c r="S11" s="26" t="s">
        <x:v>117</x:v>
      </x:c>
      <x:c r="T11" s="28" t="s">
        <x:v>16</x:v>
      </x:c>
      <x:c r="U11" s="28" t="s">
        <x:v>100</x:v>
      </x:c>
      <x:c r="V11" s="28" t="s">
        <x:v>16</x:v>
      </x:c>
      <x:c r="W11" s="24" t="s">
        <x:v>118</x:v>
      </x:c>
      <x:c r="X11" s="25" t="str">
        <x:f>IF(Guide!$B$11="","",Guide!$B$11)</x:f>
        <x:v>skedushwang</x:v>
      </x:c>
      <x:c r="Y11" s="29" t="n">
        <x:f>IF(Guide!$B$12="","",Guide!$B$12)</x:f>
        <x:v>46257</x:v>
      </x:c>
      <x:c r="Z11" s="25" t="str">
        <x:f t="shared" si="0">IF(AND(COUNTIF(T11:V11,"preserved")+COUNTIF(T11:V11,"partial")+COUNTIF(T11:V11,"lost")=3,LEN(TRIM(X11))&gt;0,ISNUMBER(Y11),OR(COUNTIF(T11:V11,"partial")+COUNTIF(T11:V11,"lost")=0,LEN(TRIM(W11))&gt;0)),"complete","pending")</x:f>
        <x:v>complete</x:v>
      </x:c>
    </x:row>
    <x:row r="12" ht="57" customHeight="1">
      <x:c r="A12" s="27" t="s">
        <x:v>119</x:v>
      </x:c>
      <x:c r="B12" s="27" t="s">
        <x:v>108</x:v>
      </x:c>
      <x:c r="C12" s="27" t="s">
        <x:v>73</x:v>
      </x:c>
      <x:c r="D12" s="27" t="s">
        <x:v>74</x:v>
      </x:c>
      <x:c r="E12" s="26" t="s">
        <x:v>109</x:v>
      </x:c>
      <x:c r="F12" s="26" t="s">
        <x:v>110</x:v>
      </x:c>
      <x:c r="G12" s="26" t="s">
        <x:v>61</x:v>
      </x:c>
      <x:c r="H12" s="26" t="s">
        <x:v>111</x:v>
      </x:c>
      <x:c r="I12" s="26" t="s">
        <x:v>112</x:v>
      </x:c>
      <x:c r="J12" s="26" t="s">
        <x:v>75</x:v>
      </x:c>
      <x:c r="K12" s="26" t="s">
        <x:v>76</x:v>
      </x:c>
      <x:c r="L12" s="26" t="s">
        <x:v>61</x:v>
      </x:c>
      <x:c r="M12" s="26" t="s">
        <x:v>61</x:v>
      </x:c>
      <x:c r="N12" s="26" t="s">
        <x:v>61</x:v>
      </x:c>
      <x:c r="O12" s="26" t="s">
        <x:v>61</x:v>
      </x:c>
      <x:c r="P12" s="26" t="s">
        <x:v>61</x:v>
      </x:c>
      <x:c r="Q12" s="26" t="s">
        <x:v>61</x:v>
      </x:c>
      <x:c r="R12" s="26" t="s">
        <x:v>61</x:v>
      </x:c>
      <x:c r="S12" s="26" t="s">
        <x:v>61</x:v>
      </x:c>
      <x:c r="T12" s="28" t="s">
        <x:v>77</x:v>
      </x:c>
      <x:c r="U12" s="28" t="s">
        <x:v>77</x:v>
      </x:c>
      <x:c r="V12" s="28" t="s">
        <x:v>77</x:v>
      </x:c>
      <x:c r="W12" s="24" t="s">
        <x:v>78</x:v>
      </x:c>
      <x:c r="X12" s="25" t="str">
        <x:f>IF(Guide!$B$11="","",Guide!$B$11)</x:f>
        <x:v>skedushwang</x:v>
      </x:c>
      <x:c r="Y12" s="29" t="n">
        <x:f>IF(Guide!$B$12="","",Guide!$B$12)</x:f>
        <x:v>46257</x:v>
      </x:c>
      <x:c r="Z12" s="25" t="str">
        <x:f t="shared" si="0">IF(AND(COUNTIF(T12:V12,"preserved")+COUNTIF(T12:V12,"partial")+COUNTIF(T12:V12,"lost")=3,LEN(TRIM(X12))&gt;0,ISNUMBER(Y12),OR(COUNTIF(T12:V12,"partial")+COUNTIF(T12:V12,"lost")=0,LEN(TRIM(W12))&gt;0)),"complete","pending")</x:f>
        <x:v>complete</x:v>
      </x:c>
    </x:row>
    <x:row r="13" ht="57" customHeight="1">
      <x:c r="A13" s="27" t="s">
        <x:v>120</x:v>
      </x:c>
      <x:c r="B13" s="27" t="s">
        <x:v>121</x:v>
      </x:c>
      <x:c r="C13" s="27" t="s">
        <x:v>57</x:v>
      </x:c>
      <x:c r="D13" s="27" t="s">
        <x:v>58</x:v>
      </x:c>
      <x:c r="E13" s="26" t="s">
        <x:v>59</x:v>
      </x:c>
      <x:c r="F13" s="26" t="s">
        <x:v>122</x:v>
      </x:c>
      <x:c r="G13" s="26" t="s">
        <x:v>61</x:v>
      </x:c>
      <x:c r="H13" s="26" t="s">
        <x:v>123</x:v>
      </x:c>
      <x:c r="I13" s="26" t="s">
        <x:v>124</x:v>
      </x:c>
      <x:c r="J13" s="26" t="s">
        <x:v>64</x:v>
      </x:c>
      <x:c r="K13" s="26" t="s">
        <x:v>61</x:v>
      </x:c>
      <x:c r="L13" s="26" t="s">
        <x:v>65</x:v>
      </x:c>
      <x:c r="M13" s="26" t="s">
        <x:v>125</x:v>
      </x:c>
      <x:c r="N13" s="26" t="s">
        <x:v>126</x:v>
      </x:c>
      <x:c r="O13" s="26" t="s">
        <x:v>127</x:v>
      </x:c>
      <x:c r="P13" s="26" t="s">
        <x:v>128</x:v>
      </x:c>
      <x:c r="Q13" s="26" t="s">
        <x:v>61</x:v>
      </x:c>
      <x:c r="R13" s="26" t="s">
        <x:v>70</x:v>
      </x:c>
      <x:c r="S13" s="26" t="s">
        <x:v>129</x:v>
      </x:c>
      <x:c r="T13" s="28" t="s">
        <x:v>16</x:v>
      </x:c>
      <x:c r="U13" s="28" t="s">
        <x:v>16</x:v>
      </x:c>
      <x:c r="V13" s="28" t="s">
        <x:v>16</x:v>
      </x:c>
      <x:c r="W13" s="24"/>
      <x:c r="X13" s="25" t="str">
        <x:f>IF(Guide!$B$11="","",Guide!$B$11)</x:f>
        <x:v>skedushwang</x:v>
      </x:c>
      <x:c r="Y13" s="29" t="n">
        <x:f>IF(Guide!$B$12="","",Guide!$B$12)</x:f>
        <x:v>46257</x:v>
      </x:c>
      <x:c r="Z13" s="25" t="str">
        <x:f t="shared" si="0">IF(AND(COUNTIF(T13:V13,"preserved")+COUNTIF(T13:V13,"partial")+COUNTIF(T13:V13,"lost")=3,LEN(TRIM(X13))&gt;0,ISNUMBER(Y13),OR(COUNTIF(T13:V13,"partial")+COUNTIF(T13:V13,"lost")=0,LEN(TRIM(W13))&gt;0)),"complete","pending")</x:f>
        <x:v>complete</x:v>
      </x:c>
    </x:row>
    <x:row r="14" ht="57" customHeight="1">
      <x:c r="A14" s="27" t="s">
        <x:v>130</x:v>
      </x:c>
      <x:c r="B14" s="27" t="s">
        <x:v>121</x:v>
      </x:c>
      <x:c r="C14" s="27" t="s">
        <x:v>73</x:v>
      </x:c>
      <x:c r="D14" s="27" t="s">
        <x:v>74</x:v>
      </x:c>
      <x:c r="E14" s="26" t="s">
        <x:v>59</x:v>
      </x:c>
      <x:c r="F14" s="26" t="s">
        <x:v>122</x:v>
      </x:c>
      <x:c r="G14" s="26" t="s">
        <x:v>61</x:v>
      </x:c>
      <x:c r="H14" s="26" t="s">
        <x:v>123</x:v>
      </x:c>
      <x:c r="I14" s="26" t="s">
        <x:v>124</x:v>
      </x:c>
      <x:c r="J14" s="26" t="s">
        <x:v>64</x:v>
      </x:c>
      <x:c r="K14" s="26" t="s">
        <x:v>61</x:v>
      </x:c>
      <x:c r="L14" s="26" t="s">
        <x:v>65</x:v>
      </x:c>
      <x:c r="M14" s="26" t="s">
        <x:v>125</x:v>
      </x:c>
      <x:c r="N14" s="26" t="s">
        <x:v>126</x:v>
      </x:c>
      <x:c r="O14" s="26" t="s">
        <x:v>61</x:v>
      </x:c>
      <x:c r="P14" s="26" t="s">
        <x:v>131</x:v>
      </x:c>
      <x:c r="Q14" s="26" t="s">
        <x:v>61</x:v>
      </x:c>
      <x:c r="R14" s="26" t="s">
        <x:v>70</x:v>
      </x:c>
      <x:c r="S14" s="26" t="s">
        <x:v>132</x:v>
      </x:c>
      <x:c r="T14" s="28" t="s">
        <x:v>16</x:v>
      </x:c>
      <x:c r="U14" s="28" t="s">
        <x:v>16</x:v>
      </x:c>
      <x:c r="V14" s="28" t="s">
        <x:v>16</x:v>
      </x:c>
      <x:c r="W14" s="24"/>
      <x:c r="X14" s="25" t="str">
        <x:f>IF(Guide!$B$11="","",Guide!$B$11)</x:f>
        <x:v>skedushwang</x:v>
      </x:c>
      <x:c r="Y14" s="29" t="n">
        <x:f>IF(Guide!$B$12="","",Guide!$B$12)</x:f>
        <x:v>46257</x:v>
      </x:c>
      <x:c r="Z14" s="25" t="str">
        <x:f t="shared" si="0">IF(AND(COUNTIF(T14:V14,"preserved")+COUNTIF(T14:V14,"partial")+COUNTIF(T14:V14,"lost")=3,LEN(TRIM(X14))&gt;0,ISNUMBER(Y14),OR(COUNTIF(T14:V14,"partial")+COUNTIF(T14:V14,"lost")=0,LEN(TRIM(W14))&gt;0)),"complete","pending")</x:f>
        <x:v>complete</x:v>
      </x:c>
    </x:row>
    <x:row r="15" ht="57" customHeight="1">
      <x:c r="A15" s="27" t="s">
        <x:v>133</x:v>
      </x:c>
      <x:c r="B15" s="27" t="s">
        <x:v>134</x:v>
      </x:c>
      <x:c r="C15" s="27" t="s">
        <x:v>57</x:v>
      </x:c>
      <x:c r="D15" s="27" t="s">
        <x:v>58</x:v>
      </x:c>
      <x:c r="E15" s="26" t="s">
        <x:v>135</x:v>
      </x:c>
      <x:c r="F15" s="26" t="s">
        <x:v>61</x:v>
      </x:c>
      <x:c r="G15" s="26" t="s">
        <x:v>61</x:v>
      </x:c>
      <x:c r="H15" s="26" t="s">
        <x:v>135</x:v>
      </x:c>
      <x:c r="I15" s="26" t="s">
        <x:v>136</x:v>
      </x:c>
      <x:c r="J15" s="26" t="s">
        <x:v>64</x:v>
      </x:c>
      <x:c r="K15" s="26" t="s">
        <x:v>61</x:v>
      </x:c>
      <x:c r="L15" s="26" t="s">
        <x:v>65</x:v>
      </x:c>
      <x:c r="M15" s="26" t="s">
        <x:v>137</x:v>
      </x:c>
      <x:c r="N15" s="26" t="s">
        <x:v>138</x:v>
      </x:c>
      <x:c r="O15" s="26" t="s">
        <x:v>139</x:v>
      </x:c>
      <x:c r="P15" s="26" t="s">
        <x:v>140</x:v>
      </x:c>
      <x:c r="Q15" s="26" t="s">
        <x:v>61</x:v>
      </x:c>
      <x:c r="R15" s="26" t="s">
        <x:v>70</x:v>
      </x:c>
      <x:c r="S15" s="26" t="s">
        <x:v>141</x:v>
      </x:c>
      <x:c r="T15" s="28" t="s">
        <x:v>16</x:v>
      </x:c>
      <x:c r="U15" s="28" t="s">
        <x:v>16</x:v>
      </x:c>
      <x:c r="V15" s="28" t="s">
        <x:v>16</x:v>
      </x:c>
      <x:c r="W15" s="24"/>
      <x:c r="X15" s="25" t="str">
        <x:f>IF(Guide!$B$11="","",Guide!$B$11)</x:f>
        <x:v>skedushwang</x:v>
      </x:c>
      <x:c r="Y15" s="29" t="n">
        <x:f>IF(Guide!$B$12="","",Guide!$B$12)</x:f>
        <x:v>46257</x:v>
      </x:c>
      <x:c r="Z15" s="25" t="str">
        <x:f t="shared" si="0">IF(AND(COUNTIF(T15:V15,"preserved")+COUNTIF(T15:V15,"partial")+COUNTIF(T15:V15,"lost")=3,LEN(TRIM(X15))&gt;0,ISNUMBER(Y15),OR(COUNTIF(T15:V15,"partial")+COUNTIF(T15:V15,"lost")=0,LEN(TRIM(W15))&gt;0)),"complete","pending")</x:f>
        <x:v>complete</x:v>
      </x:c>
    </x:row>
    <x:row r="16" ht="57" customHeight="1">
      <x:c r="A16" s="27" t="s">
        <x:v>142</x:v>
      </x:c>
      <x:c r="B16" s="27" t="s">
        <x:v>134</x:v>
      </x:c>
      <x:c r="C16" s="27" t="s">
        <x:v>73</x:v>
      </x:c>
      <x:c r="D16" s="27" t="s">
        <x:v>74</x:v>
      </x:c>
      <x:c r="E16" s="26" t="s">
        <x:v>135</x:v>
      </x:c>
      <x:c r="F16" s="26" t="s">
        <x:v>61</x:v>
      </x:c>
      <x:c r="G16" s="26" t="s">
        <x:v>61</x:v>
      </x:c>
      <x:c r="H16" s="26" t="s">
        <x:v>135</x:v>
      </x:c>
      <x:c r="I16" s="26" t="s">
        <x:v>136</x:v>
      </x:c>
      <x:c r="J16" s="26" t="s">
        <x:v>75</x:v>
      </x:c>
      <x:c r="K16" s="26" t="s">
        <x:v>76</x:v>
      </x:c>
      <x:c r="L16" s="26" t="s">
        <x:v>61</x:v>
      </x:c>
      <x:c r="M16" s="26" t="s">
        <x:v>61</x:v>
      </x:c>
      <x:c r="N16" s="26" t="s">
        <x:v>61</x:v>
      </x:c>
      <x:c r="O16" s="26" t="s">
        <x:v>61</x:v>
      </x:c>
      <x:c r="P16" s="26" t="s">
        <x:v>61</x:v>
      </x:c>
      <x:c r="Q16" s="26" t="s">
        <x:v>61</x:v>
      </x:c>
      <x:c r="R16" s="26" t="s">
        <x:v>61</x:v>
      </x:c>
      <x:c r="S16" s="26" t="s">
        <x:v>61</x:v>
      </x:c>
      <x:c r="T16" s="28" t="s">
        <x:v>77</x:v>
      </x:c>
      <x:c r="U16" s="28" t="s">
        <x:v>77</x:v>
      </x:c>
      <x:c r="V16" s="28" t="s">
        <x:v>77</x:v>
      </x:c>
      <x:c r="W16" s="24" t="s">
        <x:v>78</x:v>
      </x:c>
      <x:c r="X16" s="25" t="str">
        <x:f>IF(Guide!$B$11="","",Guide!$B$11)</x:f>
        <x:v>skedushwang</x:v>
      </x:c>
      <x:c r="Y16" s="29" t="n">
        <x:f>IF(Guide!$B$12="","",Guide!$B$12)</x:f>
        <x:v>46257</x:v>
      </x:c>
      <x:c r="Z16" s="25" t="str">
        <x:f t="shared" si="0">IF(AND(COUNTIF(T16:V16,"preserved")+COUNTIF(T16:V16,"partial")+COUNTIF(T16:V16,"lost")=3,LEN(TRIM(X16))&gt;0,ISNUMBER(Y16),OR(COUNTIF(T16:V16,"partial")+COUNTIF(T16:V16,"lost")=0,LEN(TRIM(W16))&gt;0)),"complete","pending")</x:f>
        <x:v>complete</x:v>
      </x:c>
    </x:row>
    <x:row r="17" ht="57" customHeight="1">
      <x:c r="A17" s="27" t="s">
        <x:v>143</x:v>
      </x:c>
      <x:c r="B17" s="27" t="s">
        <x:v>144</x:v>
      </x:c>
      <x:c r="C17" s="27" t="s">
        <x:v>57</x:v>
      </x:c>
      <x:c r="D17" s="27" t="s">
        <x:v>58</x:v>
      </x:c>
      <x:c r="E17" s="26" t="s">
        <x:v>59</x:v>
      </x:c>
      <x:c r="F17" s="26" t="s">
        <x:v>145</x:v>
      </x:c>
      <x:c r="G17" s="26" t="s">
        <x:v>61</x:v>
      </x:c>
      <x:c r="H17" s="26" t="s">
        <x:v>146</x:v>
      </x:c>
      <x:c r="I17" s="26" t="s">
        <x:v>83</x:v>
      </x:c>
      <x:c r="J17" s="26" t="s">
        <x:v>64</x:v>
      </x:c>
      <x:c r="K17" s="26" t="s">
        <x:v>61</x:v>
      </x:c>
      <x:c r="L17" s="26" t="s">
        <x:v>65</x:v>
      </x:c>
      <x:c r="M17" s="26" t="s">
        <x:v>147</x:v>
      </x:c>
      <x:c r="N17" s="26" t="s">
        <x:v>148</x:v>
      </x:c>
      <x:c r="O17" s="26" t="s">
        <x:v>149</x:v>
      </x:c>
      <x:c r="P17" s="26" t="s">
        <x:v>150</x:v>
      </x:c>
      <x:c r="Q17" s="26" t="s">
        <x:v>61</x:v>
      </x:c>
      <x:c r="R17" s="26" t="s">
        <x:v>70</x:v>
      </x:c>
      <x:c r="S17" s="26" t="s">
        <x:v>151</x:v>
      </x:c>
      <x:c r="T17" s="28" t="s">
        <x:v>16</x:v>
      </x:c>
      <x:c r="U17" s="28" t="s">
        <x:v>16</x:v>
      </x:c>
      <x:c r="V17" s="28" t="s">
        <x:v>16</x:v>
      </x:c>
      <x:c r="W17" s="24"/>
      <x:c r="X17" s="25" t="str">
        <x:f>IF(Guide!$B$11="","",Guide!$B$11)</x:f>
        <x:v>skedushwang</x:v>
      </x:c>
      <x:c r="Y17" s="29" t="n">
        <x:f>IF(Guide!$B$12="","",Guide!$B$12)</x:f>
        <x:v>46257</x:v>
      </x:c>
      <x:c r="Z17" s="25" t="str">
        <x:f t="shared" si="0">IF(AND(COUNTIF(T17:V17,"preserved")+COUNTIF(T17:V17,"partial")+COUNTIF(T17:V17,"lost")=3,LEN(TRIM(X17))&gt;0,ISNUMBER(Y17),OR(COUNTIF(T17:V17,"partial")+COUNTIF(T17:V17,"lost")=0,LEN(TRIM(W17))&gt;0)),"complete","pending")</x:f>
        <x:v>complete</x:v>
      </x:c>
    </x:row>
    <x:row r="18" ht="57" customHeight="1">
      <x:c r="A18" s="27" t="s">
        <x:v>152</x:v>
      </x:c>
      <x:c r="B18" s="27" t="s">
        <x:v>144</x:v>
      </x:c>
      <x:c r="C18" s="27" t="s">
        <x:v>73</x:v>
      </x:c>
      <x:c r="D18" s="27" t="s">
        <x:v>74</x:v>
      </x:c>
      <x:c r="E18" s="26" t="s">
        <x:v>59</x:v>
      </x:c>
      <x:c r="F18" s="26" t="s">
        <x:v>145</x:v>
      </x:c>
      <x:c r="G18" s="26" t="s">
        <x:v>61</x:v>
      </x:c>
      <x:c r="H18" s="26" t="s">
        <x:v>146</x:v>
      </x:c>
      <x:c r="I18" s="26" t="s">
        <x:v>83</x:v>
      </x:c>
      <x:c r="J18" s="26" t="s">
        <x:v>75</x:v>
      </x:c>
      <x:c r="K18" s="26" t="s">
        <x:v>76</x:v>
      </x:c>
      <x:c r="L18" s="26" t="s">
        <x:v>61</x:v>
      </x:c>
      <x:c r="M18" s="26" t="s">
        <x:v>61</x:v>
      </x:c>
      <x:c r="N18" s="26" t="s">
        <x:v>61</x:v>
      </x:c>
      <x:c r="O18" s="26" t="s">
        <x:v>61</x:v>
      </x:c>
      <x:c r="P18" s="26" t="s">
        <x:v>61</x:v>
      </x:c>
      <x:c r="Q18" s="26" t="s">
        <x:v>61</x:v>
      </x:c>
      <x:c r="R18" s="26" t="s">
        <x:v>61</x:v>
      </x:c>
      <x:c r="S18" s="26" t="s">
        <x:v>61</x:v>
      </x:c>
      <x:c r="T18" s="28" t="s">
        <x:v>77</x:v>
      </x:c>
      <x:c r="U18" s="28" t="s">
        <x:v>77</x:v>
      </x:c>
      <x:c r="V18" s="28" t="s">
        <x:v>77</x:v>
      </x:c>
      <x:c r="W18" s="24" t="s">
        <x:v>78</x:v>
      </x:c>
      <x:c r="X18" s="25" t="str">
        <x:f>IF(Guide!$B$11="","",Guide!$B$11)</x:f>
        <x:v>skedushwang</x:v>
      </x:c>
      <x:c r="Y18" s="29" t="n">
        <x:f>IF(Guide!$B$12="","",Guide!$B$12)</x:f>
        <x:v>46257</x:v>
      </x:c>
      <x:c r="Z18" s="25" t="str">
        <x:f t="shared" si="0">IF(AND(COUNTIF(T18:V18,"preserved")+COUNTIF(T18:V18,"partial")+COUNTIF(T18:V18,"lost")=3,LEN(TRIM(X18))&gt;0,ISNUMBER(Y18),OR(COUNTIF(T18:V18,"partial")+COUNTIF(T18:V18,"lost")=0,LEN(TRIM(W18))&gt;0)),"complete","pending")</x:f>
        <x:v>complete</x:v>
      </x:c>
    </x:row>
    <x:row r="19" ht="57" customHeight="1">
      <x:c r="A19" s="27" t="s">
        <x:v>153</x:v>
      </x:c>
      <x:c r="B19" s="27" t="s">
        <x:v>154</x:v>
      </x:c>
      <x:c r="C19" s="27" t="s">
        <x:v>57</x:v>
      </x:c>
      <x:c r="D19" s="27" t="s">
        <x:v>58</x:v>
      </x:c>
      <x:c r="E19" s="26" t="s">
        <x:v>155</x:v>
      </x:c>
      <x:c r="F19" s="26" t="s">
        <x:v>156</x:v>
      </x:c>
      <x:c r="G19" s="26" t="s">
        <x:v>61</x:v>
      </x:c>
      <x:c r="H19" s="26" t="s">
        <x:v>157</x:v>
      </x:c>
      <x:c r="I19" s="26" t="s">
        <x:v>158</x:v>
      </x:c>
      <x:c r="J19" s="26" t="s">
        <x:v>64</x:v>
      </x:c>
      <x:c r="K19" s="26" t="s">
        <x:v>61</x:v>
      </x:c>
      <x:c r="L19" s="26" t="s">
        <x:v>65</x:v>
      </x:c>
      <x:c r="M19" s="26" t="s">
        <x:v>159</x:v>
      </x:c>
      <x:c r="N19" s="26" t="s">
        <x:v>160</x:v>
      </x:c>
      <x:c r="O19" s="26" t="s">
        <x:v>161</x:v>
      </x:c>
      <x:c r="P19" s="26" t="s">
        <x:v>162</x:v>
      </x:c>
      <x:c r="Q19" s="26" t="s">
        <x:v>61</x:v>
      </x:c>
      <x:c r="R19" s="26" t="s">
        <x:v>70</x:v>
      </x:c>
      <x:c r="S19" s="26" t="s">
        <x:v>163</x:v>
      </x:c>
      <x:c r="T19" s="28" t="s">
        <x:v>16</x:v>
      </x:c>
      <x:c r="U19" s="28" t="s">
        <x:v>100</x:v>
      </x:c>
      <x:c r="V19" s="28" t="s">
        <x:v>16</x:v>
      </x:c>
      <x:c r="W19" s="24" t="s">
        <x:v>164</x:v>
      </x:c>
      <x:c r="X19" s="25" t="str">
        <x:f>IF(Guide!$B$11="","",Guide!$B$11)</x:f>
        <x:v>skedushwang</x:v>
      </x:c>
      <x:c r="Y19" s="29" t="n">
        <x:f>IF(Guide!$B$12="","",Guide!$B$12)</x:f>
        <x:v>46257</x:v>
      </x:c>
      <x:c r="Z19" s="25" t="str">
        <x:f t="shared" si="0">IF(AND(COUNTIF(T19:V19,"preserved")+COUNTIF(T19:V19,"partial")+COUNTIF(T19:V19,"lost")=3,LEN(TRIM(X19))&gt;0,ISNUMBER(Y19),OR(COUNTIF(T19:V19,"partial")+COUNTIF(T19:V19,"lost")=0,LEN(TRIM(W19))&gt;0)),"complete","pending")</x:f>
        <x:v>complete</x:v>
      </x:c>
    </x:row>
    <x:row r="20" ht="57" customHeight="1">
      <x:c r="A20" s="27" t="s">
        <x:v>165</x:v>
      </x:c>
      <x:c r="B20" s="27" t="s">
        <x:v>154</x:v>
      </x:c>
      <x:c r="C20" s="27" t="s">
        <x:v>73</x:v>
      </x:c>
      <x:c r="D20" s="27" t="s">
        <x:v>74</x:v>
      </x:c>
      <x:c r="E20" s="26" t="s">
        <x:v>155</x:v>
      </x:c>
      <x:c r="F20" s="26" t="s">
        <x:v>156</x:v>
      </x:c>
      <x:c r="G20" s="26" t="s">
        <x:v>61</x:v>
      </x:c>
      <x:c r="H20" s="26" t="s">
        <x:v>157</x:v>
      </x:c>
      <x:c r="I20" s="26" t="s">
        <x:v>158</x:v>
      </x:c>
      <x:c r="J20" s="26" t="s">
        <x:v>75</x:v>
      </x:c>
      <x:c r="K20" s="26" t="s">
        <x:v>76</x:v>
      </x:c>
      <x:c r="L20" s="26" t="s">
        <x:v>61</x:v>
      </x:c>
      <x:c r="M20" s="26" t="s">
        <x:v>61</x:v>
      </x:c>
      <x:c r="N20" s="26" t="s">
        <x:v>61</x:v>
      </x:c>
      <x:c r="O20" s="26" t="s">
        <x:v>61</x:v>
      </x:c>
      <x:c r="P20" s="26" t="s">
        <x:v>61</x:v>
      </x:c>
      <x:c r="Q20" s="26" t="s">
        <x:v>61</x:v>
      </x:c>
      <x:c r="R20" s="26" t="s">
        <x:v>61</x:v>
      </x:c>
      <x:c r="S20" s="26" t="s">
        <x:v>61</x:v>
      </x:c>
      <x:c r="T20" s="28" t="s">
        <x:v>77</x:v>
      </x:c>
      <x:c r="U20" s="28" t="s">
        <x:v>77</x:v>
      </x:c>
      <x:c r="V20" s="28" t="s">
        <x:v>77</x:v>
      </x:c>
      <x:c r="W20" s="24" t="s">
        <x:v>78</x:v>
      </x:c>
      <x:c r="X20" s="25" t="str">
        <x:f>IF(Guide!$B$11="","",Guide!$B$11)</x:f>
        <x:v>skedushwang</x:v>
      </x:c>
      <x:c r="Y20" s="29" t="n">
        <x:f>IF(Guide!$B$12="","",Guide!$B$12)</x:f>
        <x:v>46257</x:v>
      </x:c>
      <x:c r="Z20" s="25" t="str">
        <x:f t="shared" si="0">IF(AND(COUNTIF(T20:V20,"preserved")+COUNTIF(T20:V20,"partial")+COUNTIF(T20:V20,"lost")=3,LEN(TRIM(X20))&gt;0,ISNUMBER(Y20),OR(COUNTIF(T20:V20,"partial")+COUNTIF(T20:V20,"lost")=0,LEN(TRIM(W20))&gt;0)),"complete","pending")</x:f>
        <x:v>complete</x:v>
      </x:c>
    </x:row>
    <x:row r="21" ht="57" customHeight="1">
      <x:c r="A21" s="27" t="s">
        <x:v>166</x:v>
      </x:c>
      <x:c r="B21" s="27" t="s">
        <x:v>167</x:v>
      </x:c>
      <x:c r="C21" s="27" t="s">
        <x:v>57</x:v>
      </x:c>
      <x:c r="D21" s="27" t="s">
        <x:v>58</x:v>
      </x:c>
      <x:c r="E21" s="26" t="s">
        <x:v>168</x:v>
      </x:c>
      <x:c r="F21" s="26" t="s">
        <x:v>61</x:v>
      </x:c>
      <x:c r="G21" s="26" t="s">
        <x:v>61</x:v>
      </x:c>
      <x:c r="H21" s="26" t="s">
        <x:v>168</x:v>
      </x:c>
      <x:c r="I21" s="26" t="s">
        <x:v>169</x:v>
      </x:c>
      <x:c r="J21" s="26" t="s">
        <x:v>64</x:v>
      </x:c>
      <x:c r="K21" s="26" t="s">
        <x:v>61</x:v>
      </x:c>
      <x:c r="L21" s="26" t="s">
        <x:v>65</x:v>
      </x:c>
      <x:c r="M21" s="26" t="s">
        <x:v>170</x:v>
      </x:c>
      <x:c r="N21" s="26" t="s">
        <x:v>171</x:v>
      </x:c>
      <x:c r="O21" s="26" t="s">
        <x:v>172</x:v>
      </x:c>
      <x:c r="P21" s="26" t="s">
        <x:v>173</x:v>
      </x:c>
      <x:c r="Q21" s="26" t="s">
        <x:v>61</x:v>
      </x:c>
      <x:c r="R21" s="26" t="s">
        <x:v>70</x:v>
      </x:c>
      <x:c r="S21" s="26" t="s">
        <x:v>174</x:v>
      </x:c>
      <x:c r="T21" s="28" t="s">
        <x:v>16</x:v>
      </x:c>
      <x:c r="U21" s="28" t="s">
        <x:v>16</x:v>
      </x:c>
      <x:c r="V21" s="28" t="s">
        <x:v>16</x:v>
      </x:c>
      <x:c r="W21" s="24"/>
      <x:c r="X21" s="25" t="str">
        <x:f>IF(Guide!$B$11="","",Guide!$B$11)</x:f>
        <x:v>skedushwang</x:v>
      </x:c>
      <x:c r="Y21" s="29" t="n">
        <x:f>IF(Guide!$B$12="","",Guide!$B$12)</x:f>
        <x:v>46257</x:v>
      </x:c>
      <x:c r="Z21" s="25" t="str">
        <x:f t="shared" si="0">IF(AND(COUNTIF(T21:V21,"preserved")+COUNTIF(T21:V21,"partial")+COUNTIF(T21:V21,"lost")=3,LEN(TRIM(X21))&gt;0,ISNUMBER(Y21),OR(COUNTIF(T21:V21,"partial")+COUNTIF(T21:V21,"lost")=0,LEN(TRIM(W21))&gt;0)),"complete","pending")</x:f>
        <x:v>complete</x:v>
      </x:c>
    </x:row>
    <x:row r="22" ht="57" customHeight="1">
      <x:c r="A22" s="27" t="s">
        <x:v>175</x:v>
      </x:c>
      <x:c r="B22" s="27" t="s">
        <x:v>167</x:v>
      </x:c>
      <x:c r="C22" s="27" t="s">
        <x:v>73</x:v>
      </x:c>
      <x:c r="D22" s="27" t="s">
        <x:v>74</x:v>
      </x:c>
      <x:c r="E22" s="26" t="s">
        <x:v>168</x:v>
      </x:c>
      <x:c r="F22" s="26" t="s">
        <x:v>61</x:v>
      </x:c>
      <x:c r="G22" s="26" t="s">
        <x:v>61</x:v>
      </x:c>
      <x:c r="H22" s="26" t="s">
        <x:v>168</x:v>
      </x:c>
      <x:c r="I22" s="26" t="s">
        <x:v>169</x:v>
      </x:c>
      <x:c r="J22" s="26" t="s">
        <x:v>75</x:v>
      </x:c>
      <x:c r="K22" s="26" t="s">
        <x:v>76</x:v>
      </x:c>
      <x:c r="L22" s="26" t="s">
        <x:v>61</x:v>
      </x:c>
      <x:c r="M22" s="26" t="s">
        <x:v>61</x:v>
      </x:c>
      <x:c r="N22" s="26" t="s">
        <x:v>61</x:v>
      </x:c>
      <x:c r="O22" s="26" t="s">
        <x:v>61</x:v>
      </x:c>
      <x:c r="P22" s="26" t="s">
        <x:v>61</x:v>
      </x:c>
      <x:c r="Q22" s="26" t="s">
        <x:v>61</x:v>
      </x:c>
      <x:c r="R22" s="26" t="s">
        <x:v>61</x:v>
      </x:c>
      <x:c r="S22" s="26" t="s">
        <x:v>61</x:v>
      </x:c>
      <x:c r="T22" s="28" t="s">
        <x:v>77</x:v>
      </x:c>
      <x:c r="U22" s="28" t="s">
        <x:v>77</x:v>
      </x:c>
      <x:c r="V22" s="28" t="s">
        <x:v>77</x:v>
      </x:c>
      <x:c r="W22" s="24" t="s">
        <x:v>78</x:v>
      </x:c>
      <x:c r="X22" s="25" t="str">
        <x:f>IF(Guide!$B$11="","",Guide!$B$11)</x:f>
        <x:v>skedushwang</x:v>
      </x:c>
      <x:c r="Y22" s="29" t="n">
        <x:f>IF(Guide!$B$12="","",Guide!$B$12)</x:f>
        <x:v>46257</x:v>
      </x:c>
      <x:c r="Z22" s="25" t="str">
        <x:f t="shared" si="0">IF(AND(COUNTIF(T22:V22,"preserved")+COUNTIF(T22:V22,"partial")+COUNTIF(T22:V22,"lost")=3,LEN(TRIM(X22))&gt;0,ISNUMBER(Y22),OR(COUNTIF(T22:V22,"partial")+COUNTIF(T22:V22,"lost")=0,LEN(TRIM(W22))&gt;0)),"complete","pending")</x:f>
        <x:v>complete</x:v>
      </x:c>
    </x:row>
    <x:row r="23" ht="57" customHeight="1">
      <x:c r="A23" s="27" t="s">
        <x:v>176</x:v>
      </x:c>
      <x:c r="B23" s="27" t="s">
        <x:v>177</x:v>
      </x:c>
      <x:c r="C23" s="27" t="s">
        <x:v>57</x:v>
      </x:c>
      <x:c r="D23" s="27" t="s">
        <x:v>58</x:v>
      </x:c>
      <x:c r="E23" s="26" t="s">
        <x:v>59</x:v>
      </x:c>
      <x:c r="F23" s="26" t="s">
        <x:v>178</x:v>
      </x:c>
      <x:c r="G23" s="26" t="s">
        <x:v>61</x:v>
      </x:c>
      <x:c r="H23" s="26" t="s">
        <x:v>179</x:v>
      </x:c>
      <x:c r="I23" s="26" t="s">
        <x:v>180</x:v>
      </x:c>
      <x:c r="J23" s="26" t="s">
        <x:v>64</x:v>
      </x:c>
      <x:c r="K23" s="26" t="s">
        <x:v>61</x:v>
      </x:c>
      <x:c r="L23" s="26" t="s">
        <x:v>65</x:v>
      </x:c>
      <x:c r="M23" s="26" t="s">
        <x:v>181</x:v>
      </x:c>
      <x:c r="N23" s="26" t="s">
        <x:v>182</x:v>
      </x:c>
      <x:c r="O23" s="26" t="s">
        <x:v>183</x:v>
      </x:c>
      <x:c r="P23" s="26" t="s">
        <x:v>184</x:v>
      </x:c>
      <x:c r="Q23" s="26" t="s">
        <x:v>61</x:v>
      </x:c>
      <x:c r="R23" s="26" t="s">
        <x:v>70</x:v>
      </x:c>
      <x:c r="S23" s="26" t="s">
        <x:v>185</x:v>
      </x:c>
      <x:c r="T23" s="28" t="s">
        <x:v>16</x:v>
      </x:c>
      <x:c r="U23" s="28" t="s">
        <x:v>16</x:v>
      </x:c>
      <x:c r="V23" s="28" t="s">
        <x:v>16</x:v>
      </x:c>
      <x:c r="W23" s="24"/>
      <x:c r="X23" s="25" t="str">
        <x:f>IF(Guide!$B$11="","",Guide!$B$11)</x:f>
        <x:v>skedushwang</x:v>
      </x:c>
      <x:c r="Y23" s="29" t="n">
        <x:f>IF(Guide!$B$12="","",Guide!$B$12)</x:f>
        <x:v>46257</x:v>
      </x:c>
      <x:c r="Z23" s="25" t="str">
        <x:f t="shared" si="0">IF(AND(COUNTIF(T23:V23,"preserved")+COUNTIF(T23:V23,"partial")+COUNTIF(T23:V23,"lost")=3,LEN(TRIM(X23))&gt;0,ISNUMBER(Y23),OR(COUNTIF(T23:V23,"partial")+COUNTIF(T23:V23,"lost")=0,LEN(TRIM(W23))&gt;0)),"complete","pending")</x:f>
        <x:v>complete</x:v>
      </x:c>
    </x:row>
    <x:row r="24" ht="57" customHeight="1">
      <x:c r="A24" s="27" t="s">
        <x:v>186</x:v>
      </x:c>
      <x:c r="B24" s="27" t="s">
        <x:v>177</x:v>
      </x:c>
      <x:c r="C24" s="27" t="s">
        <x:v>73</x:v>
      </x:c>
      <x:c r="D24" s="27" t="s">
        <x:v>74</x:v>
      </x:c>
      <x:c r="E24" s="26" t="s">
        <x:v>59</x:v>
      </x:c>
      <x:c r="F24" s="26" t="s">
        <x:v>178</x:v>
      </x:c>
      <x:c r="G24" s="26" t="s">
        <x:v>61</x:v>
      </x:c>
      <x:c r="H24" s="26" t="s">
        <x:v>179</x:v>
      </x:c>
      <x:c r="I24" s="26" t="s">
        <x:v>180</x:v>
      </x:c>
      <x:c r="J24" s="26" t="s">
        <x:v>75</x:v>
      </x:c>
      <x:c r="K24" s="26" t="s">
        <x:v>76</x:v>
      </x:c>
      <x:c r="L24" s="26" t="s">
        <x:v>61</x:v>
      </x:c>
      <x:c r="M24" s="26" t="s">
        <x:v>61</x:v>
      </x:c>
      <x:c r="N24" s="26" t="s">
        <x:v>61</x:v>
      </x:c>
      <x:c r="O24" s="26" t="s">
        <x:v>61</x:v>
      </x:c>
      <x:c r="P24" s="26" t="s">
        <x:v>61</x:v>
      </x:c>
      <x:c r="Q24" s="26" t="s">
        <x:v>61</x:v>
      </x:c>
      <x:c r="R24" s="26" t="s">
        <x:v>61</x:v>
      </x:c>
      <x:c r="S24" s="26" t="s">
        <x:v>61</x:v>
      </x:c>
      <x:c r="T24" s="28" t="s">
        <x:v>77</x:v>
      </x:c>
      <x:c r="U24" s="28" t="s">
        <x:v>77</x:v>
      </x:c>
      <x:c r="V24" s="28" t="s">
        <x:v>77</x:v>
      </x:c>
      <x:c r="W24" s="24" t="s">
        <x:v>78</x:v>
      </x:c>
      <x:c r="X24" s="25" t="str">
        <x:f>IF(Guide!$B$11="","",Guide!$B$11)</x:f>
        <x:v>skedushwang</x:v>
      </x:c>
      <x:c r="Y24" s="29" t="n">
        <x:f>IF(Guide!$B$12="","",Guide!$B$12)</x:f>
        <x:v>46257</x:v>
      </x:c>
      <x:c r="Z24" s="25" t="str">
        <x:f t="shared" si="0">IF(AND(COUNTIF(T24:V24,"preserved")+COUNTIF(T24:V24,"partial")+COUNTIF(T24:V24,"lost")=3,LEN(TRIM(X24))&gt;0,ISNUMBER(Y24),OR(COUNTIF(T24:V24,"partial")+COUNTIF(T24:V24,"lost")=0,LEN(TRIM(W24))&gt;0)),"complete","pending")</x:f>
        <x:v>complete</x:v>
      </x:c>
    </x:row>
    <x:row r="25" ht="57" customHeight="1">
      <x:c r="A25" s="27" t="s">
        <x:v>187</x:v>
      </x:c>
      <x:c r="B25" s="27" t="s">
        <x:v>188</x:v>
      </x:c>
      <x:c r="C25" s="27" t="s">
        <x:v>57</x:v>
      </x:c>
      <x:c r="D25" s="27" t="s">
        <x:v>58</x:v>
      </x:c>
      <x:c r="E25" s="26" t="s">
        <x:v>59</x:v>
      </x:c>
      <x:c r="F25" s="26" t="s">
        <x:v>189</x:v>
      </x:c>
      <x:c r="G25" s="26" t="s">
        <x:v>61</x:v>
      </x:c>
      <x:c r="H25" s="26" t="s">
        <x:v>190</x:v>
      </x:c>
      <x:c r="I25" s="26" t="s">
        <x:v>191</x:v>
      </x:c>
      <x:c r="J25" s="26" t="s">
        <x:v>64</x:v>
      </x:c>
      <x:c r="K25" s="26" t="s">
        <x:v>61</x:v>
      </x:c>
      <x:c r="L25" s="26" t="s">
        <x:v>65</x:v>
      </x:c>
      <x:c r="M25" s="26" t="s">
        <x:v>192</x:v>
      </x:c>
      <x:c r="N25" s="26" t="s">
        <x:v>193</x:v>
      </x:c>
      <x:c r="O25" s="26" t="s">
        <x:v>194</x:v>
      </x:c>
      <x:c r="P25" s="26" t="s">
        <x:v>195</x:v>
      </x:c>
      <x:c r="Q25" s="26" t="s">
        <x:v>61</x:v>
      </x:c>
      <x:c r="R25" s="26" t="s">
        <x:v>70</x:v>
      </x:c>
      <x:c r="S25" s="26" t="s">
        <x:v>196</x:v>
      </x:c>
      <x:c r="T25" s="28" t="s">
        <x:v>16</x:v>
      </x:c>
      <x:c r="U25" s="28" t="s">
        <x:v>16</x:v>
      </x:c>
      <x:c r="V25" s="28" t="s">
        <x:v>16</x:v>
      </x:c>
      <x:c r="W25" s="24"/>
      <x:c r="X25" s="25" t="str">
        <x:f>IF(Guide!$B$11="","",Guide!$B$11)</x:f>
        <x:v>skedushwang</x:v>
      </x:c>
      <x:c r="Y25" s="29" t="n">
        <x:f>IF(Guide!$B$12="","",Guide!$B$12)</x:f>
        <x:v>46257</x:v>
      </x:c>
      <x:c r="Z25" s="25" t="str">
        <x:f t="shared" si="0">IF(AND(COUNTIF(T25:V25,"preserved")+COUNTIF(T25:V25,"partial")+COUNTIF(T25:V25,"lost")=3,LEN(TRIM(X25))&gt;0,ISNUMBER(Y25),OR(COUNTIF(T25:V25,"partial")+COUNTIF(T25:V25,"lost")=0,LEN(TRIM(W25))&gt;0)),"complete","pending")</x:f>
        <x:v>complete</x:v>
      </x:c>
    </x:row>
    <x:row r="26" ht="57" customHeight="1">
      <x:c r="A26" s="27" t="s">
        <x:v>197</x:v>
      </x:c>
      <x:c r="B26" s="27" t="s">
        <x:v>188</x:v>
      </x:c>
      <x:c r="C26" s="27" t="s">
        <x:v>73</x:v>
      </x:c>
      <x:c r="D26" s="27" t="s">
        <x:v>74</x:v>
      </x:c>
      <x:c r="E26" s="26" t="s">
        <x:v>59</x:v>
      </x:c>
      <x:c r="F26" s="26" t="s">
        <x:v>189</x:v>
      </x:c>
      <x:c r="G26" s="26" t="s">
        <x:v>61</x:v>
      </x:c>
      <x:c r="H26" s="26" t="s">
        <x:v>190</x:v>
      </x:c>
      <x:c r="I26" s="26" t="s">
        <x:v>191</x:v>
      </x:c>
      <x:c r="J26" s="26" t="s">
        <x:v>64</x:v>
      </x:c>
      <x:c r="K26" s="26" t="s">
        <x:v>61</x:v>
      </x:c>
      <x:c r="L26" s="26" t="s">
        <x:v>65</x:v>
      </x:c>
      <x:c r="M26" s="26" t="s">
        <x:v>198</x:v>
      </x:c>
      <x:c r="N26" s="26" t="s">
        <x:v>199</x:v>
      </x:c>
      <x:c r="O26" s="26" t="s">
        <x:v>200</x:v>
      </x:c>
      <x:c r="P26" s="26" t="s">
        <x:v>201</x:v>
      </x:c>
      <x:c r="Q26" s="26" t="s">
        <x:v>61</x:v>
      </x:c>
      <x:c r="R26" s="26" t="s">
        <x:v>70</x:v>
      </x:c>
      <x:c r="S26" s="26" t="s">
        <x:v>202</x:v>
      </x:c>
      <x:c r="T26" s="28" t="s">
        <x:v>16</x:v>
      </x:c>
      <x:c r="U26" s="28" t="s">
        <x:v>16</x:v>
      </x:c>
      <x:c r="V26" s="28" t="s">
        <x:v>16</x:v>
      </x:c>
      <x:c r="W26" s="24"/>
      <x:c r="X26" s="25" t="str">
        <x:f>IF(Guide!$B$11="","",Guide!$B$11)</x:f>
        <x:v>skedushwang</x:v>
      </x:c>
      <x:c r="Y26" s="29" t="n">
        <x:f>IF(Guide!$B$12="","",Guide!$B$12)</x:f>
        <x:v>46257</x:v>
      </x:c>
      <x:c r="Z26" s="25" t="str">
        <x:f t="shared" si="0">IF(AND(COUNTIF(T26:V26,"preserved")+COUNTIF(T26:V26,"partial")+COUNTIF(T26:V26,"lost")=3,LEN(TRIM(X26))&gt;0,ISNUMBER(Y26),OR(COUNTIF(T26:V26,"partial")+COUNTIF(T26:V26,"lost")=0,LEN(TRIM(W26))&gt;0)),"complete","pending")</x:f>
        <x:v>complete</x:v>
      </x:c>
    </x:row>
    <x:row r="27" ht="57" customHeight="1">
      <x:c r="A27" s="27" t="s">
        <x:v>203</x:v>
      </x:c>
      <x:c r="B27" s="27" t="s">
        <x:v>204</x:v>
      </x:c>
      <x:c r="C27" s="27" t="s">
        <x:v>57</x:v>
      </x:c>
      <x:c r="D27" s="27" t="s">
        <x:v>58</x:v>
      </x:c>
      <x:c r="E27" s="26" t="s">
        <x:v>205</x:v>
      </x:c>
      <x:c r="F27" s="26" t="s">
        <x:v>61</x:v>
      </x:c>
      <x:c r="G27" s="26" t="s">
        <x:v>61</x:v>
      </x:c>
      <x:c r="H27" s="26" t="s">
        <x:v>205</x:v>
      </x:c>
      <x:c r="I27" s="26" t="s">
        <x:v>206</x:v>
      </x:c>
      <x:c r="J27" s="26" t="s">
        <x:v>64</x:v>
      </x:c>
      <x:c r="K27" s="26" t="s">
        <x:v>61</x:v>
      </x:c>
      <x:c r="L27" s="26" t="s">
        <x:v>65</x:v>
      </x:c>
      <x:c r="M27" s="26" t="s">
        <x:v>207</x:v>
      </x:c>
      <x:c r="N27" s="26" t="s">
        <x:v>208</x:v>
      </x:c>
      <x:c r="O27" s="26" t="s">
        <x:v>209</x:v>
      </x:c>
      <x:c r="P27" s="26" t="s">
        <x:v>210</x:v>
      </x:c>
      <x:c r="Q27" s="26" t="s">
        <x:v>61</x:v>
      </x:c>
      <x:c r="R27" s="26" t="s">
        <x:v>70</x:v>
      </x:c>
      <x:c r="S27" s="26" t="s">
        <x:v>211</x:v>
      </x:c>
      <x:c r="T27" s="28" t="s">
        <x:v>16</x:v>
      </x:c>
      <x:c r="U27" s="28" t="s">
        <x:v>16</x:v>
      </x:c>
      <x:c r="V27" s="28" t="s">
        <x:v>16</x:v>
      </x:c>
      <x:c r="W27" s="24"/>
      <x:c r="X27" s="25" t="str">
        <x:f>IF(Guide!$B$11="","",Guide!$B$11)</x:f>
        <x:v>skedushwang</x:v>
      </x:c>
      <x:c r="Y27" s="29" t="n">
        <x:f>IF(Guide!$B$12="","",Guide!$B$12)</x:f>
        <x:v>46257</x:v>
      </x:c>
      <x:c r="Z27" s="25" t="str">
        <x:f t="shared" si="0">IF(AND(COUNTIF(T27:V27,"preserved")+COUNTIF(T27:V27,"partial")+COUNTIF(T27:V27,"lost")=3,LEN(TRIM(X27))&gt;0,ISNUMBER(Y27),OR(COUNTIF(T27:V27,"partial")+COUNTIF(T27:V27,"lost")=0,LEN(TRIM(W27))&gt;0)),"complete","pending")</x:f>
        <x:v>complete</x:v>
      </x:c>
    </x:row>
    <x:row r="28" ht="57" customHeight="1">
      <x:c r="A28" s="27" t="s">
        <x:v>212</x:v>
      </x:c>
      <x:c r="B28" s="27" t="s">
        <x:v>204</x:v>
      </x:c>
      <x:c r="C28" s="27" t="s">
        <x:v>73</x:v>
      </x:c>
      <x:c r="D28" s="27" t="s">
        <x:v>74</x:v>
      </x:c>
      <x:c r="E28" s="26" t="s">
        <x:v>205</x:v>
      </x:c>
      <x:c r="F28" s="26" t="s">
        <x:v>61</x:v>
      </x:c>
      <x:c r="G28" s="26" t="s">
        <x:v>61</x:v>
      </x:c>
      <x:c r="H28" s="26" t="s">
        <x:v>205</x:v>
      </x:c>
      <x:c r="I28" s="26" t="s">
        <x:v>206</x:v>
      </x:c>
      <x:c r="J28" s="26" t="s">
        <x:v>75</x:v>
      </x:c>
      <x:c r="K28" s="26" t="s">
        <x:v>76</x:v>
      </x:c>
      <x:c r="L28" s="26" t="s">
        <x:v>61</x:v>
      </x:c>
      <x:c r="M28" s="26" t="s">
        <x:v>61</x:v>
      </x:c>
      <x:c r="N28" s="26" t="s">
        <x:v>61</x:v>
      </x:c>
      <x:c r="O28" s="26" t="s">
        <x:v>61</x:v>
      </x:c>
      <x:c r="P28" s="26" t="s">
        <x:v>61</x:v>
      </x:c>
      <x:c r="Q28" s="26" t="s">
        <x:v>61</x:v>
      </x:c>
      <x:c r="R28" s="26" t="s">
        <x:v>61</x:v>
      </x:c>
      <x:c r="S28" s="26" t="s">
        <x:v>61</x:v>
      </x:c>
      <x:c r="T28" s="28" t="s">
        <x:v>77</x:v>
      </x:c>
      <x:c r="U28" s="28" t="s">
        <x:v>77</x:v>
      </x:c>
      <x:c r="V28" s="28" t="s">
        <x:v>77</x:v>
      </x:c>
      <x:c r="W28" s="24" t="s">
        <x:v>78</x:v>
      </x:c>
      <x:c r="X28" s="25" t="str">
        <x:f>IF(Guide!$B$11="","",Guide!$B$11)</x:f>
        <x:v>skedushwang</x:v>
      </x:c>
      <x:c r="Y28" s="29" t="n">
        <x:f>IF(Guide!$B$12="","",Guide!$B$12)</x:f>
        <x:v>46257</x:v>
      </x:c>
      <x:c r="Z28" s="25" t="str">
        <x:f t="shared" si="0">IF(AND(COUNTIF(T28:V28,"preserved")+COUNTIF(T28:V28,"partial")+COUNTIF(T28:V28,"lost")=3,LEN(TRIM(X28))&gt;0,ISNUMBER(Y28),OR(COUNTIF(T28:V28,"partial")+COUNTIF(T28:V28,"lost")=0,LEN(TRIM(W28))&gt;0)),"complete","pending")</x:f>
        <x:v>complete</x:v>
      </x:c>
    </x:row>
    <x:row r="29" ht="57" customHeight="1">
      <x:c r="A29" s="27" t="s">
        <x:v>213</x:v>
      </x:c>
      <x:c r="B29" s="27" t="s">
        <x:v>214</x:v>
      </x:c>
      <x:c r="C29" s="27" t="s">
        <x:v>57</x:v>
      </x:c>
      <x:c r="D29" s="27" t="s">
        <x:v>58</x:v>
      </x:c>
      <x:c r="E29" s="26" t="s">
        <x:v>215</x:v>
      </x:c>
      <x:c r="F29" s="26" t="s">
        <x:v>61</x:v>
      </x:c>
      <x:c r="G29" s="26" t="s">
        <x:v>61</x:v>
      </x:c>
      <x:c r="H29" s="26" t="s">
        <x:v>215</x:v>
      </x:c>
      <x:c r="I29" s="26" t="s">
        <x:v>216</x:v>
      </x:c>
      <x:c r="J29" s="26" t="s">
        <x:v>64</x:v>
      </x:c>
      <x:c r="K29" s="26" t="s">
        <x:v>61</x:v>
      </x:c>
      <x:c r="L29" s="26" t="s">
        <x:v>65</x:v>
      </x:c>
      <x:c r="M29" s="26" t="s">
        <x:v>217</x:v>
      </x:c>
      <x:c r="N29" s="26" t="s">
        <x:v>218</x:v>
      </x:c>
      <x:c r="O29" s="26" t="s">
        <x:v>219</x:v>
      </x:c>
      <x:c r="P29" s="26" t="s">
        <x:v>220</x:v>
      </x:c>
      <x:c r="Q29" s="26" t="s">
        <x:v>61</x:v>
      </x:c>
      <x:c r="R29" s="26" t="s">
        <x:v>70</x:v>
      </x:c>
      <x:c r="S29" s="26" t="s">
        <x:v>221</x:v>
      </x:c>
      <x:c r="T29" s="28" t="s">
        <x:v>16</x:v>
      </x:c>
      <x:c r="U29" s="28" t="s">
        <x:v>100</x:v>
      </x:c>
      <x:c r="V29" s="28" t="s">
        <x:v>16</x:v>
      </x:c>
      <x:c r="W29" s="24" t="s">
        <x:v>222</x:v>
      </x:c>
      <x:c r="X29" s="25" t="str">
        <x:f>IF(Guide!$B$11="","",Guide!$B$11)</x:f>
        <x:v>skedushwang</x:v>
      </x:c>
      <x:c r="Y29" s="29" t="n">
        <x:f>IF(Guide!$B$12="","",Guide!$B$12)</x:f>
        <x:v>46257</x:v>
      </x:c>
      <x:c r="Z29" s="25" t="str">
        <x:f t="shared" si="0">IF(AND(COUNTIF(T29:V29,"preserved")+COUNTIF(T29:V29,"partial")+COUNTIF(T29:V29,"lost")=3,LEN(TRIM(X29))&gt;0,ISNUMBER(Y29),OR(COUNTIF(T29:V29,"partial")+COUNTIF(T29:V29,"lost")=0,LEN(TRIM(W29))&gt;0)),"complete","pending")</x:f>
        <x:v>complete</x:v>
      </x:c>
    </x:row>
    <x:row r="30" ht="57" customHeight="1">
      <x:c r="A30" s="27" t="s">
        <x:v>223</x:v>
      </x:c>
      <x:c r="B30" s="27" t="s">
        <x:v>214</x:v>
      </x:c>
      <x:c r="C30" s="27" t="s">
        <x:v>73</x:v>
      </x:c>
      <x:c r="D30" s="27" t="s">
        <x:v>74</x:v>
      </x:c>
      <x:c r="E30" s="26" t="s">
        <x:v>215</x:v>
      </x:c>
      <x:c r="F30" s="26" t="s">
        <x:v>61</x:v>
      </x:c>
      <x:c r="G30" s="26" t="s">
        <x:v>61</x:v>
      </x:c>
      <x:c r="H30" s="26" t="s">
        <x:v>215</x:v>
      </x:c>
      <x:c r="I30" s="26" t="s">
        <x:v>216</x:v>
      </x:c>
      <x:c r="J30" s="26" t="s">
        <x:v>64</x:v>
      </x:c>
      <x:c r="K30" s="26" t="s">
        <x:v>61</x:v>
      </x:c>
      <x:c r="L30" s="26" t="s">
        <x:v>65</x:v>
      </x:c>
      <x:c r="M30" s="26" t="s">
        <x:v>224</x:v>
      </x:c>
      <x:c r="N30" s="26" t="s">
        <x:v>218</x:v>
      </x:c>
      <x:c r="O30" s="26" t="s">
        <x:v>225</x:v>
      </x:c>
      <x:c r="P30" s="26" t="s">
        <x:v>226</x:v>
      </x:c>
      <x:c r="Q30" s="26" t="s">
        <x:v>61</x:v>
      </x:c>
      <x:c r="R30" s="26" t="s">
        <x:v>70</x:v>
      </x:c>
      <x:c r="S30" s="26" t="s">
        <x:v>227</x:v>
      </x:c>
      <x:c r="T30" s="28" t="s">
        <x:v>16</x:v>
      </x:c>
      <x:c r="U30" s="28" t="s">
        <x:v>100</x:v>
      </x:c>
      <x:c r="V30" s="28" t="s">
        <x:v>16</x:v>
      </x:c>
      <x:c r="W30" s="24" t="s">
        <x:v>222</x:v>
      </x:c>
      <x:c r="X30" s="25" t="str">
        <x:f>IF(Guide!$B$11="","",Guide!$B$11)</x:f>
        <x:v>skedushwang</x:v>
      </x:c>
      <x:c r="Y30" s="29" t="n">
        <x:f>IF(Guide!$B$12="","",Guide!$B$12)</x:f>
        <x:v>46257</x:v>
      </x:c>
      <x:c r="Z30" s="25" t="str">
        <x:f t="shared" si="0">IF(AND(COUNTIF(T30:V30,"preserved")+COUNTIF(T30:V30,"partial")+COUNTIF(T30:V30,"lost")=3,LEN(TRIM(X30))&gt;0,ISNUMBER(Y30),OR(COUNTIF(T30:V30,"partial")+COUNTIF(T30:V30,"lost")=0,LEN(TRIM(W30))&gt;0)),"complete","pending")</x:f>
        <x:v>complete</x:v>
      </x:c>
    </x:row>
    <x:row r="31" ht="57" customHeight="1">
      <x:c r="A31" s="27" t="s">
        <x:v>228</x:v>
      </x:c>
      <x:c r="B31" s="27" t="s">
        <x:v>229</x:v>
      </x:c>
      <x:c r="C31" s="27" t="s">
        <x:v>57</x:v>
      </x:c>
      <x:c r="D31" s="27" t="s">
        <x:v>58</x:v>
      </x:c>
      <x:c r="E31" s="26" t="s">
        <x:v>230</x:v>
      </x:c>
      <x:c r="F31" s="26" t="s">
        <x:v>61</x:v>
      </x:c>
      <x:c r="G31" s="26" t="s">
        <x:v>61</x:v>
      </x:c>
      <x:c r="H31" s="26" t="s">
        <x:v>230</x:v>
      </x:c>
      <x:c r="I31" s="26" t="s">
        <x:v>216</x:v>
      </x:c>
      <x:c r="J31" s="26" t="s">
        <x:v>64</x:v>
      </x:c>
      <x:c r="K31" s="26" t="s">
        <x:v>61</x:v>
      </x:c>
      <x:c r="L31" s="26" t="s">
        <x:v>65</x:v>
      </x:c>
      <x:c r="M31" s="26" t="s">
        <x:v>231</x:v>
      </x:c>
      <x:c r="N31" s="26" t="s">
        <x:v>232</x:v>
      </x:c>
      <x:c r="O31" s="26" t="s">
        <x:v>233</x:v>
      </x:c>
      <x:c r="P31" s="26" t="s">
        <x:v>234</x:v>
      </x:c>
      <x:c r="Q31" s="26" t="s">
        <x:v>61</x:v>
      </x:c>
      <x:c r="R31" s="26" t="s">
        <x:v>70</x:v>
      </x:c>
      <x:c r="S31" s="26" t="s">
        <x:v>235</x:v>
      </x:c>
      <x:c r="T31" s="28" t="s">
        <x:v>16</x:v>
      </x:c>
      <x:c r="U31" s="28" t="s">
        <x:v>16</x:v>
      </x:c>
      <x:c r="V31" s="28" t="s">
        <x:v>16</x:v>
      </x:c>
      <x:c r="W31" s="24"/>
      <x:c r="X31" s="25" t="str">
        <x:f>IF(Guide!$B$11="","",Guide!$B$11)</x:f>
        <x:v>skedushwang</x:v>
      </x:c>
      <x:c r="Y31" s="29" t="n">
        <x:f>IF(Guide!$B$12="","",Guide!$B$12)</x:f>
        <x:v>46257</x:v>
      </x:c>
      <x:c r="Z31" s="25" t="str">
        <x:f t="shared" si="0">IF(AND(COUNTIF(T31:V31,"preserved")+COUNTIF(T31:V31,"partial")+COUNTIF(T31:V31,"lost")=3,LEN(TRIM(X31))&gt;0,ISNUMBER(Y31),OR(COUNTIF(T31:V31,"partial")+COUNTIF(T31:V31,"lost")=0,LEN(TRIM(W31))&gt;0)),"complete","pending")</x:f>
        <x:v>complete</x:v>
      </x:c>
    </x:row>
    <x:row r="32" ht="57" customHeight="1">
      <x:c r="A32" s="27" t="s">
        <x:v>236</x:v>
      </x:c>
      <x:c r="B32" s="27" t="s">
        <x:v>229</x:v>
      </x:c>
      <x:c r="C32" s="27" t="s">
        <x:v>73</x:v>
      </x:c>
      <x:c r="D32" s="27" t="s">
        <x:v>74</x:v>
      </x:c>
      <x:c r="E32" s="26" t="s">
        <x:v>230</x:v>
      </x:c>
      <x:c r="F32" s="26" t="s">
        <x:v>61</x:v>
      </x:c>
      <x:c r="G32" s="26" t="s">
        <x:v>61</x:v>
      </x:c>
      <x:c r="H32" s="26" t="s">
        <x:v>230</x:v>
      </x:c>
      <x:c r="I32" s="26" t="s">
        <x:v>216</x:v>
      </x:c>
      <x:c r="J32" s="26" t="s">
        <x:v>64</x:v>
      </x:c>
      <x:c r="K32" s="26" t="s">
        <x:v>61</x:v>
      </x:c>
      <x:c r="L32" s="26" t="s">
        <x:v>65</x:v>
      </x:c>
      <x:c r="M32" s="26" t="s">
        <x:v>231</x:v>
      </x:c>
      <x:c r="N32" s="26" t="s">
        <x:v>237</x:v>
      </x:c>
      <x:c r="O32" s="26" t="s">
        <x:v>238</x:v>
      </x:c>
      <x:c r="P32" s="26" t="s">
        <x:v>234</x:v>
      </x:c>
      <x:c r="Q32" s="26" t="s">
        <x:v>61</x:v>
      </x:c>
      <x:c r="R32" s="26" t="s">
        <x:v>70</x:v>
      </x:c>
      <x:c r="S32" s="26" t="s">
        <x:v>239</x:v>
      </x:c>
      <x:c r="T32" s="28" t="s">
        <x:v>16</x:v>
      </x:c>
      <x:c r="U32" s="28" t="s">
        <x:v>16</x:v>
      </x:c>
      <x:c r="V32" s="28" t="s">
        <x:v>16</x:v>
      </x:c>
      <x:c r="W32" s="24"/>
      <x:c r="X32" s="25" t="str">
        <x:f>IF(Guide!$B$11="","",Guide!$B$11)</x:f>
        <x:v>skedushwang</x:v>
      </x:c>
      <x:c r="Y32" s="29" t="n">
        <x:f>IF(Guide!$B$12="","",Guide!$B$12)</x:f>
        <x:v>46257</x:v>
      </x:c>
      <x:c r="Z32" s="25" t="str">
        <x:f t="shared" si="0">IF(AND(COUNTIF(T32:V32,"preserved")+COUNTIF(T32:V32,"partial")+COUNTIF(T32:V32,"lost")=3,LEN(TRIM(X32))&gt;0,ISNUMBER(Y32),OR(COUNTIF(T32:V32,"partial")+COUNTIF(T32:V32,"lost")=0,LEN(TRIM(W32))&gt;0)),"complete","pending")</x:f>
        <x:v>complete</x:v>
      </x:c>
    </x:row>
    <x:row r="33" ht="57" customHeight="1">
      <x:c r="A33" s="27" t="s">
        <x:v>240</x:v>
      </x:c>
      <x:c r="B33" s="27" t="s">
        <x:v>241</x:v>
      </x:c>
      <x:c r="C33" s="27" t="s">
        <x:v>57</x:v>
      </x:c>
      <x:c r="D33" s="27" t="s">
        <x:v>58</x:v>
      </x:c>
      <x:c r="E33" s="26" t="s">
        <x:v>242</x:v>
      </x:c>
      <x:c r="F33" s="26" t="s">
        <x:v>61</x:v>
      </x:c>
      <x:c r="G33" s="26" t="s">
        <x:v>61</x:v>
      </x:c>
      <x:c r="H33" s="26" t="s">
        <x:v>242</x:v>
      </x:c>
      <x:c r="I33" s="26" t="s">
        <x:v>216</x:v>
      </x:c>
      <x:c r="J33" s="26" t="s">
        <x:v>64</x:v>
      </x:c>
      <x:c r="K33" s="26" t="s">
        <x:v>61</x:v>
      </x:c>
      <x:c r="L33" s="26" t="s">
        <x:v>65</x:v>
      </x:c>
      <x:c r="M33" s="26" t="s">
        <x:v>243</x:v>
      </x:c>
      <x:c r="N33" s="26" t="s">
        <x:v>244</x:v>
      </x:c>
      <x:c r="O33" s="26" t="s">
        <x:v>245</x:v>
      </x:c>
      <x:c r="P33" s="26" t="s">
        <x:v>246</x:v>
      </x:c>
      <x:c r="Q33" s="26" t="s">
        <x:v>61</x:v>
      </x:c>
      <x:c r="R33" s="26" t="s">
        <x:v>70</x:v>
      </x:c>
      <x:c r="S33" s="26" t="s">
        <x:v>247</x:v>
      </x:c>
      <x:c r="T33" s="28" t="s">
        <x:v>16</x:v>
      </x:c>
      <x:c r="U33" s="28" t="s">
        <x:v>100</x:v>
      </x:c>
      <x:c r="V33" s="28" t="s">
        <x:v>16</x:v>
      </x:c>
      <x:c r="W33" s="24" t="s">
        <x:v>248</x:v>
      </x:c>
      <x:c r="X33" s="25" t="str">
        <x:f>IF(Guide!$B$11="","",Guide!$B$11)</x:f>
        <x:v>skedushwang</x:v>
      </x:c>
      <x:c r="Y33" s="29" t="n">
        <x:f>IF(Guide!$B$12="","",Guide!$B$12)</x:f>
        <x:v>46257</x:v>
      </x:c>
      <x:c r="Z33" s="25" t="str">
        <x:f t="shared" si="0">IF(AND(COUNTIF(T33:V33,"preserved")+COUNTIF(T33:V33,"partial")+COUNTIF(T33:V33,"lost")=3,LEN(TRIM(X33))&gt;0,ISNUMBER(Y33),OR(COUNTIF(T33:V33,"partial")+COUNTIF(T33:V33,"lost")=0,LEN(TRIM(W33))&gt;0)),"complete","pending")</x:f>
        <x:v>complete</x:v>
      </x:c>
    </x:row>
    <x:row r="34" ht="57" customHeight="1">
      <x:c r="A34" s="27" t="s">
        <x:v>249</x:v>
      </x:c>
      <x:c r="B34" s="27" t="s">
        <x:v>241</x:v>
      </x:c>
      <x:c r="C34" s="27" t="s">
        <x:v>73</x:v>
      </x:c>
      <x:c r="D34" s="27" t="s">
        <x:v>74</x:v>
      </x:c>
      <x:c r="E34" s="26" t="s">
        <x:v>242</x:v>
      </x:c>
      <x:c r="F34" s="26" t="s">
        <x:v>61</x:v>
      </x:c>
      <x:c r="G34" s="26" t="s">
        <x:v>61</x:v>
      </x:c>
      <x:c r="H34" s="26" t="s">
        <x:v>242</x:v>
      </x:c>
      <x:c r="I34" s="26" t="s">
        <x:v>216</x:v>
      </x:c>
      <x:c r="J34" s="26" t="s">
        <x:v>75</x:v>
      </x:c>
      <x:c r="K34" s="26" t="s">
        <x:v>76</x:v>
      </x:c>
      <x:c r="L34" s="26" t="s">
        <x:v>61</x:v>
      </x:c>
      <x:c r="M34" s="26" t="s">
        <x:v>61</x:v>
      </x:c>
      <x:c r="N34" s="26" t="s">
        <x:v>61</x:v>
      </x:c>
      <x:c r="O34" s="26" t="s">
        <x:v>61</x:v>
      </x:c>
      <x:c r="P34" s="26" t="s">
        <x:v>61</x:v>
      </x:c>
      <x:c r="Q34" s="26" t="s">
        <x:v>61</x:v>
      </x:c>
      <x:c r="R34" s="26" t="s">
        <x:v>61</x:v>
      </x:c>
      <x:c r="S34" s="26" t="s">
        <x:v>61</x:v>
      </x:c>
      <x:c r="T34" s="28" t="s">
        <x:v>77</x:v>
      </x:c>
      <x:c r="U34" s="28" t="s">
        <x:v>77</x:v>
      </x:c>
      <x:c r="V34" s="28" t="s">
        <x:v>77</x:v>
      </x:c>
      <x:c r="W34" s="24" t="s">
        <x:v>78</x:v>
      </x:c>
      <x:c r="X34" s="25" t="str">
        <x:f>IF(Guide!$B$11="","",Guide!$B$11)</x:f>
        <x:v>skedushwang</x:v>
      </x:c>
      <x:c r="Y34" s="29" t="n">
        <x:f>IF(Guide!$B$12="","",Guide!$B$12)</x:f>
        <x:v>46257</x:v>
      </x:c>
      <x:c r="Z34" s="25" t="str">
        <x:f t="shared" si="0">IF(AND(COUNTIF(T34:V34,"preserved")+COUNTIF(T34:V34,"partial")+COUNTIF(T34:V34,"lost")=3,LEN(TRIM(X34))&gt;0,ISNUMBER(Y34),OR(COUNTIF(T34:V34,"partial")+COUNTIF(T34:V34,"lost")=0,LEN(TRIM(W34))&gt;0)),"complete","pending")</x:f>
        <x:v>complete</x:v>
      </x:c>
    </x:row>
    <x:row r="35" ht="57" customHeight="1">
      <x:c r="A35" s="27" t="s">
        <x:v>250</x:v>
      </x:c>
      <x:c r="B35" s="27" t="s">
        <x:v>251</x:v>
      </x:c>
      <x:c r="C35" s="27" t="s">
        <x:v>57</x:v>
      </x:c>
      <x:c r="D35" s="27" t="s">
        <x:v>58</x:v>
      </x:c>
      <x:c r="E35" s="26" t="s">
        <x:v>59</x:v>
      </x:c>
      <x:c r="F35" s="26" t="s">
        <x:v>252</x:v>
      </x:c>
      <x:c r="G35" s="26" t="s">
        <x:v>61</x:v>
      </x:c>
      <x:c r="H35" s="26" t="s">
        <x:v>253</x:v>
      </x:c>
      <x:c r="I35" s="26" t="s">
        <x:v>254</x:v>
      </x:c>
      <x:c r="J35" s="26" t="s">
        <x:v>64</x:v>
      </x:c>
      <x:c r="K35" s="26" t="s">
        <x:v>61</x:v>
      </x:c>
      <x:c r="L35" s="26" t="s">
        <x:v>65</x:v>
      </x:c>
      <x:c r="M35" s="26" t="s">
        <x:v>255</x:v>
      </x:c>
      <x:c r="N35" s="26" t="s">
        <x:v>256</x:v>
      </x:c>
      <x:c r="O35" s="26" t="s">
        <x:v>257</x:v>
      </x:c>
      <x:c r="P35" s="26" t="s">
        <x:v>258</x:v>
      </x:c>
      <x:c r="Q35" s="26" t="s">
        <x:v>61</x:v>
      </x:c>
      <x:c r="R35" s="26" t="s">
        <x:v>70</x:v>
      </x:c>
      <x:c r="S35" s="26" t="s">
        <x:v>259</x:v>
      </x:c>
      <x:c r="T35" s="28" t="s">
        <x:v>16</x:v>
      </x:c>
      <x:c r="U35" s="28" t="s">
        <x:v>100</x:v>
      </x:c>
      <x:c r="V35" s="28" t="s">
        <x:v>16</x:v>
      </x:c>
      <x:c r="W35" s="24" t="s">
        <x:v>260</x:v>
      </x:c>
      <x:c r="X35" s="25" t="str">
        <x:f>IF(Guide!$B$11="","",Guide!$B$11)</x:f>
        <x:v>skedushwang</x:v>
      </x:c>
      <x:c r="Y35" s="29" t="n">
        <x:f>IF(Guide!$B$12="","",Guide!$B$12)</x:f>
        <x:v>46257</x:v>
      </x:c>
      <x:c r="Z35" s="25" t="str">
        <x:f t="shared" si="0">IF(AND(COUNTIF(T35:V35,"preserved")+COUNTIF(T35:V35,"partial")+COUNTIF(T35:V35,"lost")=3,LEN(TRIM(X35))&gt;0,ISNUMBER(Y35),OR(COUNTIF(T35:V35,"partial")+COUNTIF(T35:V35,"lost")=0,LEN(TRIM(W35))&gt;0)),"complete","pending")</x:f>
        <x:v>complete</x:v>
      </x:c>
    </x:row>
    <x:row r="36" ht="57" customHeight="1">
      <x:c r="A36" s="27" t="s">
        <x:v>261</x:v>
      </x:c>
      <x:c r="B36" s="27" t="s">
        <x:v>251</x:v>
      </x:c>
      <x:c r="C36" s="27" t="s">
        <x:v>73</x:v>
      </x:c>
      <x:c r="D36" s="27" t="s">
        <x:v>74</x:v>
      </x:c>
      <x:c r="E36" s="26" t="s">
        <x:v>59</x:v>
      </x:c>
      <x:c r="F36" s="26" t="s">
        <x:v>252</x:v>
      </x:c>
      <x:c r="G36" s="26" t="s">
        <x:v>61</x:v>
      </x:c>
      <x:c r="H36" s="26" t="s">
        <x:v>253</x:v>
      </x:c>
      <x:c r="I36" s="26" t="s">
        <x:v>254</x:v>
      </x:c>
      <x:c r="J36" s="26" t="s">
        <x:v>64</x:v>
      </x:c>
      <x:c r="K36" s="26" t="s">
        <x:v>61</x:v>
      </x:c>
      <x:c r="L36" s="26" t="s">
        <x:v>65</x:v>
      </x:c>
      <x:c r="M36" s="26" t="s">
        <x:v>255</x:v>
      </x:c>
      <x:c r="N36" s="26" t="s">
        <x:v>256</x:v>
      </x:c>
      <x:c r="O36" s="26" t="s">
        <x:v>257</x:v>
      </x:c>
      <x:c r="P36" s="26" t="s">
        <x:v>262</x:v>
      </x:c>
      <x:c r="Q36" s="26" t="s">
        <x:v>61</x:v>
      </x:c>
      <x:c r="R36" s="26" t="s">
        <x:v>70</x:v>
      </x:c>
      <x:c r="S36" s="26" t="s">
        <x:v>263</x:v>
      </x:c>
      <x:c r="T36" s="28" t="s">
        <x:v>16</x:v>
      </x:c>
      <x:c r="U36" s="28" t="s">
        <x:v>100</x:v>
      </x:c>
      <x:c r="V36" s="28" t="s">
        <x:v>16</x:v>
      </x:c>
      <x:c r="W36" s="24" t="s">
        <x:v>260</x:v>
      </x:c>
      <x:c r="X36" s="25" t="str">
        <x:f>IF(Guide!$B$11="","",Guide!$B$11)</x:f>
        <x:v>skedushwang</x:v>
      </x:c>
      <x:c r="Y36" s="29" t="n">
        <x:f>IF(Guide!$B$12="","",Guide!$B$12)</x:f>
        <x:v>46257</x:v>
      </x:c>
      <x:c r="Z36" s="25" t="str">
        <x:f t="shared" si="0">IF(AND(COUNTIF(T36:V36,"preserved")+COUNTIF(T36:V36,"partial")+COUNTIF(T36:V36,"lost")=3,LEN(TRIM(X36))&gt;0,ISNUMBER(Y36),OR(COUNTIF(T36:V36,"partial")+COUNTIF(T36:V36,"lost")=0,LEN(TRIM(W36))&gt;0)),"complete","pending")</x:f>
        <x:v>complete</x:v>
      </x:c>
    </x:row>
    <x:row r="37" ht="57" customHeight="1">
      <x:c r="A37" s="27" t="s">
        <x:v>264</x:v>
      </x:c>
      <x:c r="B37" s="27" t="s">
        <x:v>265</x:v>
      </x:c>
      <x:c r="C37" s="27" t="s">
        <x:v>57</x:v>
      </x:c>
      <x:c r="D37" s="27" t="s">
        <x:v>58</x:v>
      </x:c>
      <x:c r="E37" s="26" t="s">
        <x:v>59</x:v>
      </x:c>
      <x:c r="F37" s="26" t="s">
        <x:v>266</x:v>
      </x:c>
      <x:c r="G37" s="26" t="s">
        <x:v>61</x:v>
      </x:c>
      <x:c r="H37" s="26" t="s">
        <x:v>267</x:v>
      </x:c>
      <x:c r="I37" s="26" t="s">
        <x:v>268</x:v>
      </x:c>
      <x:c r="J37" s="26" t="s">
        <x:v>64</x:v>
      </x:c>
      <x:c r="K37" s="26" t="s">
        <x:v>61</x:v>
      </x:c>
      <x:c r="L37" s="26" t="s">
        <x:v>269</x:v>
      </x:c>
      <x:c r="M37" s="26" t="s">
        <x:v>61</x:v>
      </x:c>
      <x:c r="N37" s="26" t="s">
        <x:v>61</x:v>
      </x:c>
      <x:c r="O37" s="26" t="s">
        <x:v>61</x:v>
      </x:c>
      <x:c r="P37" s="26" t="s">
        <x:v>270</x:v>
      </x:c>
      <x:c r="Q37" s="26" t="s">
        <x:v>271</x:v>
      </x:c>
      <x:c r="R37" s="26" t="s">
        <x:v>70</x:v>
      </x:c>
      <x:c r="S37" s="26" t="s">
        <x:v>272</x:v>
      </x:c>
      <x:c r="T37" s="28" t="s">
        <x:v>16</x:v>
      </x:c>
      <x:c r="U37" s="28" t="s">
        <x:v>16</x:v>
      </x:c>
      <x:c r="V37" s="28" t="s">
        <x:v>16</x:v>
      </x:c>
      <x:c r="W37" s="24"/>
      <x:c r="X37" s="25" t="str">
        <x:f>IF(Guide!$B$11="","",Guide!$B$11)</x:f>
        <x:v>skedushwang</x:v>
      </x:c>
      <x:c r="Y37" s="29" t="n">
        <x:f>IF(Guide!$B$12="","",Guide!$B$12)</x:f>
        <x:v>46257</x:v>
      </x:c>
      <x:c r="Z37" s="25" t="str">
        <x:f t="shared" si="0">IF(AND(COUNTIF(T37:V37,"preserved")+COUNTIF(T37:V37,"partial")+COUNTIF(T37:V37,"lost")=3,LEN(TRIM(X37))&gt;0,ISNUMBER(Y37),OR(COUNTIF(T37:V37,"partial")+COUNTIF(T37:V37,"lost")=0,LEN(TRIM(W37))&gt;0)),"complete","pending")</x:f>
        <x:v>complete</x:v>
      </x:c>
    </x:row>
    <x:row r="38" ht="57" customHeight="1">
      <x:c r="A38" s="27" t="s">
        <x:v>273</x:v>
      </x:c>
      <x:c r="B38" s="27" t="s">
        <x:v>265</x:v>
      </x:c>
      <x:c r="C38" s="27" t="s">
        <x:v>73</x:v>
      </x:c>
      <x:c r="D38" s="27" t="s">
        <x:v>74</x:v>
      </x:c>
      <x:c r="E38" s="26" t="s">
        <x:v>59</x:v>
      </x:c>
      <x:c r="F38" s="26" t="s">
        <x:v>266</x:v>
      </x:c>
      <x:c r="G38" s="26" t="s">
        <x:v>61</x:v>
      </x:c>
      <x:c r="H38" s="26" t="s">
        <x:v>267</x:v>
      </x:c>
      <x:c r="I38" s="26" t="s">
        <x:v>268</x:v>
      </x:c>
      <x:c r="J38" s="26" t="s">
        <x:v>75</x:v>
      </x:c>
      <x:c r="K38" s="26" t="s">
        <x:v>76</x:v>
      </x:c>
      <x:c r="L38" s="26" t="s">
        <x:v>61</x:v>
      </x:c>
      <x:c r="M38" s="26" t="s">
        <x:v>61</x:v>
      </x:c>
      <x:c r="N38" s="26" t="s">
        <x:v>61</x:v>
      </x:c>
      <x:c r="O38" s="26" t="s">
        <x:v>61</x:v>
      </x:c>
      <x:c r="P38" s="26" t="s">
        <x:v>61</x:v>
      </x:c>
      <x:c r="Q38" s="26" t="s">
        <x:v>61</x:v>
      </x:c>
      <x:c r="R38" s="26" t="s">
        <x:v>61</x:v>
      </x:c>
      <x:c r="S38" s="26" t="s">
        <x:v>61</x:v>
      </x:c>
      <x:c r="T38" s="28" t="s">
        <x:v>77</x:v>
      </x:c>
      <x:c r="U38" s="28" t="s">
        <x:v>77</x:v>
      </x:c>
      <x:c r="V38" s="28" t="s">
        <x:v>77</x:v>
      </x:c>
      <x:c r="W38" s="24" t="s">
        <x:v>78</x:v>
      </x:c>
      <x:c r="X38" s="25" t="str">
        <x:f>IF(Guide!$B$11="","",Guide!$B$11)</x:f>
        <x:v>skedushwang</x:v>
      </x:c>
      <x:c r="Y38" s="29" t="n">
        <x:f>IF(Guide!$B$12="","",Guide!$B$12)</x:f>
        <x:v>46257</x:v>
      </x:c>
      <x:c r="Z38" s="25" t="str">
        <x:f t="shared" si="0">IF(AND(COUNTIF(T38:V38,"preserved")+COUNTIF(T38:V38,"partial")+COUNTIF(T38:V38,"lost")=3,LEN(TRIM(X38))&gt;0,ISNUMBER(Y38),OR(COUNTIF(T38:V38,"partial")+COUNTIF(T38:V38,"lost")=0,LEN(TRIM(W38))&gt;0)),"complete","pending")</x:f>
        <x:v>complete</x:v>
      </x:c>
    </x:row>
    <x:row r="39" ht="57" customHeight="1">
      <x:c r="A39" s="27" t="s">
        <x:v>274</x:v>
      </x:c>
      <x:c r="B39" s="27" t="s">
        <x:v>275</x:v>
      </x:c>
      <x:c r="C39" s="27" t="s">
        <x:v>57</x:v>
      </x:c>
      <x:c r="D39" s="27" t="s">
        <x:v>58</x:v>
      </x:c>
      <x:c r="E39" s="26" t="s">
        <x:v>59</x:v>
      </x:c>
      <x:c r="F39" s="26" t="s">
        <x:v>276</x:v>
      </x:c>
      <x:c r="G39" s="26" t="s">
        <x:v>61</x:v>
      </x:c>
      <x:c r="H39" s="26" t="s">
        <x:v>277</x:v>
      </x:c>
      <x:c r="I39" s="26" t="s">
        <x:v>278</x:v>
      </x:c>
      <x:c r="J39" s="26" t="s">
        <x:v>64</x:v>
      </x:c>
      <x:c r="K39" s="26" t="s">
        <x:v>61</x:v>
      </x:c>
      <x:c r="L39" s="26" t="s">
        <x:v>279</x:v>
      </x:c>
      <x:c r="M39" s="26" t="s">
        <x:v>61</x:v>
      </x:c>
      <x:c r="N39" s="26" t="s">
        <x:v>61</x:v>
      </x:c>
      <x:c r="O39" s="26" t="s">
        <x:v>61</x:v>
      </x:c>
      <x:c r="P39" s="26" t="s">
        <x:v>280</x:v>
      </x:c>
      <x:c r="Q39" s="26" t="s">
        <x:v>61</x:v>
      </x:c>
      <x:c r="R39" s="26" t="s">
        <x:v>70</x:v>
      </x:c>
      <x:c r="S39" s="26" t="s">
        <x:v>281</x:v>
      </x:c>
      <x:c r="T39" s="28" t="s">
        <x:v>16</x:v>
      </x:c>
      <x:c r="U39" s="28" t="s">
        <x:v>16</x:v>
      </x:c>
      <x:c r="V39" s="28" t="s">
        <x:v>16</x:v>
      </x:c>
      <x:c r="W39" s="24"/>
      <x:c r="X39" s="25" t="str">
        <x:f>IF(Guide!$B$11="","",Guide!$B$11)</x:f>
        <x:v>skedushwang</x:v>
      </x:c>
      <x:c r="Y39" s="29" t="n">
        <x:f>IF(Guide!$B$12="","",Guide!$B$12)</x:f>
        <x:v>46257</x:v>
      </x:c>
      <x:c r="Z39" s="25" t="str">
        <x:f t="shared" si="0">IF(AND(COUNTIF(T39:V39,"preserved")+COUNTIF(T39:V39,"partial")+COUNTIF(T39:V39,"lost")=3,LEN(TRIM(X39))&gt;0,ISNUMBER(Y39),OR(COUNTIF(T39:V39,"partial")+COUNTIF(T39:V39,"lost")=0,LEN(TRIM(W39))&gt;0)),"complete","pending")</x:f>
        <x:v>complete</x:v>
      </x:c>
    </x:row>
    <x:row r="40" ht="57" customHeight="1">
      <x:c r="A40" s="27" t="s">
        <x:v>282</x:v>
      </x:c>
      <x:c r="B40" s="27" t="s">
        <x:v>275</x:v>
      </x:c>
      <x:c r="C40" s="27" t="s">
        <x:v>73</x:v>
      </x:c>
      <x:c r="D40" s="27" t="s">
        <x:v>74</x:v>
      </x:c>
      <x:c r="E40" s="26" t="s">
        <x:v>59</x:v>
      </x:c>
      <x:c r="F40" s="26" t="s">
        <x:v>276</x:v>
      </x:c>
      <x:c r="G40" s="26" t="s">
        <x:v>61</x:v>
      </x:c>
      <x:c r="H40" s="26" t="s">
        <x:v>277</x:v>
      </x:c>
      <x:c r="I40" s="26" t="s">
        <x:v>278</x:v>
      </x:c>
      <x:c r="J40" s="26" t="s">
        <x:v>75</x:v>
      </x:c>
      <x:c r="K40" s="26" t="s">
        <x:v>76</x:v>
      </x:c>
      <x:c r="L40" s="26" t="s">
        <x:v>61</x:v>
      </x:c>
      <x:c r="M40" s="26" t="s">
        <x:v>61</x:v>
      </x:c>
      <x:c r="N40" s="26" t="s">
        <x:v>61</x:v>
      </x:c>
      <x:c r="O40" s="26" t="s">
        <x:v>61</x:v>
      </x:c>
      <x:c r="P40" s="26" t="s">
        <x:v>61</x:v>
      </x:c>
      <x:c r="Q40" s="26" t="s">
        <x:v>61</x:v>
      </x:c>
      <x:c r="R40" s="26" t="s">
        <x:v>61</x:v>
      </x:c>
      <x:c r="S40" s="26" t="s">
        <x:v>61</x:v>
      </x:c>
      <x:c r="T40" s="28" t="s">
        <x:v>77</x:v>
      </x:c>
      <x:c r="U40" s="28" t="s">
        <x:v>77</x:v>
      </x:c>
      <x:c r="V40" s="28" t="s">
        <x:v>77</x:v>
      </x:c>
      <x:c r="W40" s="24" t="s">
        <x:v>78</x:v>
      </x:c>
      <x:c r="X40" s="25" t="str">
        <x:f>IF(Guide!$B$11="","",Guide!$B$11)</x:f>
        <x:v>skedushwang</x:v>
      </x:c>
      <x:c r="Y40" s="29" t="n">
        <x:f>IF(Guide!$B$12="","",Guide!$B$12)</x:f>
        <x:v>46257</x:v>
      </x:c>
      <x:c r="Z40" s="25" t="str">
        <x:f t="shared" si="0">IF(AND(COUNTIF(T40:V40,"preserved")+COUNTIF(T40:V40,"partial")+COUNTIF(T40:V40,"lost")=3,LEN(TRIM(X40))&gt;0,ISNUMBER(Y40),OR(COUNTIF(T40:V40,"partial")+COUNTIF(T40:V40,"lost")=0,LEN(TRIM(W40))&gt;0)),"complete","pending")</x:f>
        <x:v>complete</x:v>
      </x:c>
    </x:row>
    <x:row r="41" ht="57" customHeight="1">
      <x:c r="A41" s="27" t="s">
        <x:v>283</x:v>
      </x:c>
      <x:c r="B41" s="27" t="s">
        <x:v>284</x:v>
      </x:c>
      <x:c r="C41" s="27" t="s">
        <x:v>57</x:v>
      </x:c>
      <x:c r="D41" s="27" t="s">
        <x:v>58</x:v>
      </x:c>
      <x:c r="E41" s="26" t="s">
        <x:v>285</x:v>
      </x:c>
      <x:c r="F41" s="26" t="s">
        <x:v>61</x:v>
      </x:c>
      <x:c r="G41" s="26" t="s">
        <x:v>61</x:v>
      </x:c>
      <x:c r="H41" s="26" t="s">
        <x:v>285</x:v>
      </x:c>
      <x:c r="I41" s="26" t="s">
        <x:v>286</x:v>
      </x:c>
      <x:c r="J41" s="26" t="s">
        <x:v>64</x:v>
      </x:c>
      <x:c r="K41" s="26" t="s">
        <x:v>61</x:v>
      </x:c>
      <x:c r="L41" s="26" t="s">
        <x:v>287</x:v>
      </x:c>
      <x:c r="M41" s="26" t="s">
        <x:v>288</x:v>
      </x:c>
      <x:c r="N41" s="26" t="s">
        <x:v>289</x:v>
      </x:c>
      <x:c r="O41" s="26" t="s">
        <x:v>290</x:v>
      </x:c>
      <x:c r="P41" s="26" t="s">
        <x:v>291</x:v>
      </x:c>
      <x:c r="Q41" s="26" t="s">
        <x:v>61</x:v>
      </x:c>
      <x:c r="R41" s="26" t="s">
        <x:v>292</x:v>
      </x:c>
      <x:c r="S41" s="26" t="s">
        <x:v>293</x:v>
      </x:c>
      <x:c r="T41" s="28" t="s">
        <x:v>16</x:v>
      </x:c>
      <x:c r="U41" s="28" t="s">
        <x:v>16</x:v>
      </x:c>
      <x:c r="V41" s="28" t="s">
        <x:v>16</x:v>
      </x:c>
      <x:c r="W41" s="24"/>
      <x:c r="X41" s="25" t="str">
        <x:f>IF(Guide!$B$11="","",Guide!$B$11)</x:f>
        <x:v>skedushwang</x:v>
      </x:c>
      <x:c r="Y41" s="29" t="n">
        <x:f>IF(Guide!$B$12="","",Guide!$B$12)</x:f>
        <x:v>46257</x:v>
      </x:c>
      <x:c r="Z41" s="25" t="str">
        <x:f t="shared" si="0">IF(AND(COUNTIF(T41:V41,"preserved")+COUNTIF(T41:V41,"partial")+COUNTIF(T41:V41,"lost")=3,LEN(TRIM(X41))&gt;0,ISNUMBER(Y41),OR(COUNTIF(T41:V41,"partial")+COUNTIF(T41:V41,"lost")=0,LEN(TRIM(W41))&gt;0)),"complete","pending")</x:f>
        <x:v>complete</x:v>
      </x:c>
    </x:row>
    <x:row r="42" ht="57" customHeight="1">
      <x:c r="A42" s="27" t="s">
        <x:v>294</x:v>
      </x:c>
      <x:c r="B42" s="27" t="s">
        <x:v>284</x:v>
      </x:c>
      <x:c r="C42" s="27" t="s">
        <x:v>73</x:v>
      </x:c>
      <x:c r="D42" s="27" t="s">
        <x:v>74</x:v>
      </x:c>
      <x:c r="E42" s="26" t="s">
        <x:v>285</x:v>
      </x:c>
      <x:c r="F42" s="26" t="s">
        <x:v>61</x:v>
      </x:c>
      <x:c r="G42" s="26" t="s">
        <x:v>61</x:v>
      </x:c>
      <x:c r="H42" s="26" t="s">
        <x:v>285</x:v>
      </x:c>
      <x:c r="I42" s="26" t="s">
        <x:v>286</x:v>
      </x:c>
      <x:c r="J42" s="26" t="s">
        <x:v>64</x:v>
      </x:c>
      <x:c r="K42" s="26" t="s">
        <x:v>61</x:v>
      </x:c>
      <x:c r="L42" s="26" t="s">
        <x:v>287</x:v>
      </x:c>
      <x:c r="M42" s="26" t="s">
        <x:v>295</x:v>
      </x:c>
      <x:c r="N42" s="26" t="s">
        <x:v>289</x:v>
      </x:c>
      <x:c r="O42" s="26" t="s">
        <x:v>290</x:v>
      </x:c>
      <x:c r="P42" s="26" t="s">
        <x:v>291</x:v>
      </x:c>
      <x:c r="Q42" s="26" t="s">
        <x:v>61</x:v>
      </x:c>
      <x:c r="R42" s="26" t="s">
        <x:v>292</x:v>
      </x:c>
      <x:c r="S42" s="26" t="s">
        <x:v>296</x:v>
      </x:c>
      <x:c r="T42" s="28" t="s">
        <x:v>16</x:v>
      </x:c>
      <x:c r="U42" s="28" t="s">
        <x:v>16</x:v>
      </x:c>
      <x:c r="V42" s="28" t="s">
        <x:v>16</x:v>
      </x:c>
      <x:c r="W42" s="24"/>
      <x:c r="X42" s="25" t="str">
        <x:f>IF(Guide!$B$11="","",Guide!$B$11)</x:f>
        <x:v>skedushwang</x:v>
      </x:c>
      <x:c r="Y42" s="29" t="n">
        <x:f>IF(Guide!$B$12="","",Guide!$B$12)</x:f>
        <x:v>46257</x:v>
      </x:c>
      <x:c r="Z42" s="25" t="str">
        <x:f t="shared" si="0">IF(AND(COUNTIF(T42:V42,"preserved")+COUNTIF(T42:V42,"partial")+COUNTIF(T42:V42,"lost")=3,LEN(TRIM(X42))&gt;0,ISNUMBER(Y42),OR(COUNTIF(T42:V42,"partial")+COUNTIF(T42:V42,"lost")=0,LEN(TRIM(W42))&gt;0)),"complete","pending")</x:f>
        <x:v>complete</x:v>
      </x:c>
    </x:row>
    <x:row r="43" ht="57" customHeight="1">
      <x:c r="A43" s="27" t="s">
        <x:v>297</x:v>
      </x:c>
      <x:c r="B43" s="27" t="s">
        <x:v>298</x:v>
      </x:c>
      <x:c r="C43" s="27" t="s">
        <x:v>57</x:v>
      </x:c>
      <x:c r="D43" s="27" t="s">
        <x:v>58</x:v>
      </x:c>
      <x:c r="E43" s="26" t="s">
        <x:v>299</x:v>
      </x:c>
      <x:c r="F43" s="26" t="s">
        <x:v>61</x:v>
      </x:c>
      <x:c r="G43" s="26" t="s">
        <x:v>61</x:v>
      </x:c>
      <x:c r="H43" s="26" t="s">
        <x:v>299</x:v>
      </x:c>
      <x:c r="I43" s="26" t="s">
        <x:v>286</x:v>
      </x:c>
      <x:c r="J43" s="26" t="s">
        <x:v>64</x:v>
      </x:c>
      <x:c r="K43" s="26" t="s">
        <x:v>61</x:v>
      </x:c>
      <x:c r="L43" s="26" t="s">
        <x:v>287</x:v>
      </x:c>
      <x:c r="M43" s="26" t="s">
        <x:v>300</x:v>
      </x:c>
      <x:c r="N43" s="26" t="s">
        <x:v>61</x:v>
      </x:c>
      <x:c r="O43" s="26" t="s">
        <x:v>301</x:v>
      </x:c>
      <x:c r="P43" s="26" t="s">
        <x:v>302</x:v>
      </x:c>
      <x:c r="Q43" s="26" t="s">
        <x:v>61</x:v>
      </x:c>
      <x:c r="R43" s="26" t="s">
        <x:v>292</x:v>
      </x:c>
      <x:c r="S43" s="26" t="s">
        <x:v>303</x:v>
      </x:c>
      <x:c r="T43" s="28" t="s">
        <x:v>16</x:v>
      </x:c>
      <x:c r="U43" s="28" t="s">
        <x:v>16</x:v>
      </x:c>
      <x:c r="V43" s="28" t="s">
        <x:v>100</x:v>
      </x:c>
      <x:c r="W43" s="24" t="s">
        <x:v>304</x:v>
      </x:c>
      <x:c r="X43" s="25" t="str">
        <x:f>IF(Guide!$B$11="","",Guide!$B$11)</x:f>
        <x:v>skedushwang</x:v>
      </x:c>
      <x:c r="Y43" s="29" t="n">
        <x:f>IF(Guide!$B$12="","",Guide!$B$12)</x:f>
        <x:v>46257</x:v>
      </x:c>
      <x:c r="Z43" s="25" t="str">
        <x:f t="shared" si="0">IF(AND(COUNTIF(T43:V43,"preserved")+COUNTIF(T43:V43,"partial")+COUNTIF(T43:V43,"lost")=3,LEN(TRIM(X43))&gt;0,ISNUMBER(Y43),OR(COUNTIF(T43:V43,"partial")+COUNTIF(T43:V43,"lost")=0,LEN(TRIM(W43))&gt;0)),"complete","pending")</x:f>
        <x:v>complete</x:v>
      </x:c>
    </x:row>
    <x:row r="44" ht="57" customHeight="1">
      <x:c r="A44" s="27" t="s">
        <x:v>305</x:v>
      </x:c>
      <x:c r="B44" s="27" t="s">
        <x:v>298</x:v>
      </x:c>
      <x:c r="C44" s="27" t="s">
        <x:v>73</x:v>
      </x:c>
      <x:c r="D44" s="27" t="s">
        <x:v>74</x:v>
      </x:c>
      <x:c r="E44" s="26" t="s">
        <x:v>299</x:v>
      </x:c>
      <x:c r="F44" s="26" t="s">
        <x:v>61</x:v>
      </x:c>
      <x:c r="G44" s="26" t="s">
        <x:v>61</x:v>
      </x:c>
      <x:c r="H44" s="26" t="s">
        <x:v>299</x:v>
      </x:c>
      <x:c r="I44" s="26" t="s">
        <x:v>286</x:v>
      </x:c>
      <x:c r="J44" s="26" t="s">
        <x:v>75</x:v>
      </x:c>
      <x:c r="K44" s="26" t="s">
        <x:v>76</x:v>
      </x:c>
      <x:c r="L44" s="26" t="s">
        <x:v>61</x:v>
      </x:c>
      <x:c r="M44" s="26" t="s">
        <x:v>61</x:v>
      </x:c>
      <x:c r="N44" s="26" t="s">
        <x:v>61</x:v>
      </x:c>
      <x:c r="O44" s="26" t="s">
        <x:v>61</x:v>
      </x:c>
      <x:c r="P44" s="26" t="s">
        <x:v>61</x:v>
      </x:c>
      <x:c r="Q44" s="26" t="s">
        <x:v>61</x:v>
      </x:c>
      <x:c r="R44" s="26" t="s">
        <x:v>61</x:v>
      </x:c>
      <x:c r="S44" s="26" t="s">
        <x:v>61</x:v>
      </x:c>
      <x:c r="T44" s="28" t="s">
        <x:v>77</x:v>
      </x:c>
      <x:c r="U44" s="28" t="s">
        <x:v>77</x:v>
      </x:c>
      <x:c r="V44" s="28" t="s">
        <x:v>77</x:v>
      </x:c>
      <x:c r="W44" s="24" t="s">
        <x:v>78</x:v>
      </x:c>
      <x:c r="X44" s="25" t="str">
        <x:f>IF(Guide!$B$11="","",Guide!$B$11)</x:f>
        <x:v>skedushwang</x:v>
      </x:c>
      <x:c r="Y44" s="29" t="n">
        <x:f>IF(Guide!$B$12="","",Guide!$B$12)</x:f>
        <x:v>46257</x:v>
      </x:c>
      <x:c r="Z44" s="25" t="str">
        <x:f t="shared" si="0">IF(AND(COUNTIF(T44:V44,"preserved")+COUNTIF(T44:V44,"partial")+COUNTIF(T44:V44,"lost")=3,LEN(TRIM(X44))&gt;0,ISNUMBER(Y44),OR(COUNTIF(T44:V44,"partial")+COUNTIF(T44:V44,"lost")=0,LEN(TRIM(W44))&gt;0)),"complete","pending")</x:f>
        <x:v>complete</x:v>
      </x:c>
    </x:row>
    <x:row r="45" ht="57" customHeight="1">
      <x:c r="A45" s="27" t="s">
        <x:v>306</x:v>
      </x:c>
      <x:c r="B45" s="27" t="s">
        <x:v>307</x:v>
      </x:c>
      <x:c r="C45" s="27" t="s">
        <x:v>57</x:v>
      </x:c>
      <x:c r="D45" s="27" t="s">
        <x:v>58</x:v>
      </x:c>
      <x:c r="E45" s="26" t="s">
        <x:v>59</x:v>
      </x:c>
      <x:c r="F45" s="26" t="s">
        <x:v>308</x:v>
      </x:c>
      <x:c r="G45" s="26" t="s">
        <x:v>61</x:v>
      </x:c>
      <x:c r="H45" s="26" t="s">
        <x:v>309</x:v>
      </x:c>
      <x:c r="I45" s="26" t="s">
        <x:v>310</x:v>
      </x:c>
      <x:c r="J45" s="26" t="s">
        <x:v>64</x:v>
      </x:c>
      <x:c r="K45" s="26" t="s">
        <x:v>61</x:v>
      </x:c>
      <x:c r="L45" s="26" t="s">
        <x:v>269</x:v>
      </x:c>
      <x:c r="M45" s="26" t="s">
        <x:v>61</x:v>
      </x:c>
      <x:c r="N45" s="26" t="s">
        <x:v>61</x:v>
      </x:c>
      <x:c r="O45" s="26" t="s">
        <x:v>61</x:v>
      </x:c>
      <x:c r="P45" s="26" t="s">
        <x:v>311</x:v>
      </x:c>
      <x:c r="Q45" s="26" t="s">
        <x:v>312</x:v>
      </x:c>
      <x:c r="R45" s="26" t="s">
        <x:v>70</x:v>
      </x:c>
      <x:c r="S45" s="26" t="s">
        <x:v>313</x:v>
      </x:c>
      <x:c r="T45" s="28" t="s">
        <x:v>16</x:v>
      </x:c>
      <x:c r="U45" s="28" t="s">
        <x:v>16</x:v>
      </x:c>
      <x:c r="V45" s="28" t="s">
        <x:v>16</x:v>
      </x:c>
      <x:c r="W45" s="24"/>
      <x:c r="X45" s="25" t="str">
        <x:f>IF(Guide!$B$11="","",Guide!$B$11)</x:f>
        <x:v>skedushwang</x:v>
      </x:c>
      <x:c r="Y45" s="29" t="n">
        <x:f>IF(Guide!$B$12="","",Guide!$B$12)</x:f>
        <x:v>46257</x:v>
      </x:c>
      <x:c r="Z45" s="25" t="str">
        <x:f t="shared" si="0">IF(AND(COUNTIF(T45:V45,"preserved")+COUNTIF(T45:V45,"partial")+COUNTIF(T45:V45,"lost")=3,LEN(TRIM(X45))&gt;0,ISNUMBER(Y45),OR(COUNTIF(T45:V45,"partial")+COUNTIF(T45:V45,"lost")=0,LEN(TRIM(W45))&gt;0)),"complete","pending")</x:f>
        <x:v>complete</x:v>
      </x:c>
    </x:row>
    <x:row r="46" ht="57" customHeight="1">
      <x:c r="A46" s="27" t="s">
        <x:v>314</x:v>
      </x:c>
      <x:c r="B46" s="27" t="s">
        <x:v>307</x:v>
      </x:c>
      <x:c r="C46" s="27" t="s">
        <x:v>73</x:v>
      </x:c>
      <x:c r="D46" s="27" t="s">
        <x:v>74</x:v>
      </x:c>
      <x:c r="E46" s="26" t="s">
        <x:v>59</x:v>
      </x:c>
      <x:c r="F46" s="26" t="s">
        <x:v>308</x:v>
      </x:c>
      <x:c r="G46" s="26" t="s">
        <x:v>61</x:v>
      </x:c>
      <x:c r="H46" s="26" t="s">
        <x:v>309</x:v>
      </x:c>
      <x:c r="I46" s="26" t="s">
        <x:v>310</x:v>
      </x:c>
      <x:c r="J46" s="26" t="s">
        <x:v>75</x:v>
      </x:c>
      <x:c r="K46" s="26" t="s">
        <x:v>76</x:v>
      </x:c>
      <x:c r="L46" s="26" t="s">
        <x:v>61</x:v>
      </x:c>
      <x:c r="M46" s="26" t="s">
        <x:v>61</x:v>
      </x:c>
      <x:c r="N46" s="26" t="s">
        <x:v>61</x:v>
      </x:c>
      <x:c r="O46" s="26" t="s">
        <x:v>61</x:v>
      </x:c>
      <x:c r="P46" s="26" t="s">
        <x:v>61</x:v>
      </x:c>
      <x:c r="Q46" s="26" t="s">
        <x:v>61</x:v>
      </x:c>
      <x:c r="R46" s="26" t="s">
        <x:v>61</x:v>
      </x:c>
      <x:c r="S46" s="26" t="s">
        <x:v>61</x:v>
      </x:c>
      <x:c r="T46" s="28" t="s">
        <x:v>77</x:v>
      </x:c>
      <x:c r="U46" s="28" t="s">
        <x:v>77</x:v>
      </x:c>
      <x:c r="V46" s="28" t="s">
        <x:v>77</x:v>
      </x:c>
      <x:c r="W46" s="24" t="s">
        <x:v>78</x:v>
      </x:c>
      <x:c r="X46" s="25" t="str">
        <x:f>IF(Guide!$B$11="","",Guide!$B$11)</x:f>
        <x:v>skedushwang</x:v>
      </x:c>
      <x:c r="Y46" s="29" t="n">
        <x:f>IF(Guide!$B$12="","",Guide!$B$12)</x:f>
        <x:v>46257</x:v>
      </x:c>
      <x:c r="Z46" s="25" t="str">
        <x:f t="shared" si="0">IF(AND(COUNTIF(T46:V46,"preserved")+COUNTIF(T46:V46,"partial")+COUNTIF(T46:V46,"lost")=3,LEN(TRIM(X46))&gt;0,ISNUMBER(Y46),OR(COUNTIF(T46:V46,"partial")+COUNTIF(T46:V46,"lost")=0,LEN(TRIM(W46))&gt;0)),"complete","pending")</x:f>
        <x:v>complete</x:v>
      </x:c>
    </x:row>
    <x:row r="47" ht="57" customHeight="1">
      <x:c r="A47" s="27" t="s">
        <x:v>315</x:v>
      </x:c>
      <x:c r="B47" s="27" t="s">
        <x:v>316</x:v>
      </x:c>
      <x:c r="C47" s="27" t="s">
        <x:v>57</x:v>
      </x:c>
      <x:c r="D47" s="27" t="s">
        <x:v>58</x:v>
      </x:c>
      <x:c r="E47" s="26" t="s">
        <x:v>317</x:v>
      </x:c>
      <x:c r="F47" s="26" t="s">
        <x:v>61</x:v>
      </x:c>
      <x:c r="G47" s="26" t="s">
        <x:v>61</x:v>
      </x:c>
      <x:c r="H47" s="26" t="s">
        <x:v>318</x:v>
      </x:c>
      <x:c r="I47" s="26" t="s">
        <x:v>319</x:v>
      </x:c>
      <x:c r="J47" s="26" t="s">
        <x:v>64</x:v>
      </x:c>
      <x:c r="K47" s="26" t="s">
        <x:v>61</x:v>
      </x:c>
      <x:c r="L47" s="26" t="s">
        <x:v>269</x:v>
      </x:c>
      <x:c r="M47" s="26" t="s">
        <x:v>61</x:v>
      </x:c>
      <x:c r="N47" s="26" t="s">
        <x:v>61</x:v>
      </x:c>
      <x:c r="O47" s="26" t="s">
        <x:v>320</x:v>
      </x:c>
      <x:c r="P47" s="26" t="s">
        <x:v>321</x:v>
      </x:c>
      <x:c r="Q47" s="26" t="s">
        <x:v>322</x:v>
      </x:c>
      <x:c r="R47" s="26" t="s">
        <x:v>70</x:v>
      </x:c>
      <x:c r="S47" s="26" t="s">
        <x:v>323</x:v>
      </x:c>
      <x:c r="T47" s="28" t="s">
        <x:v>16</x:v>
      </x:c>
      <x:c r="U47" s="28" t="s">
        <x:v>16</x:v>
      </x:c>
      <x:c r="V47" s="28" t="s">
        <x:v>16</x:v>
      </x:c>
      <x:c r="W47" s="24"/>
      <x:c r="X47" s="25" t="str">
        <x:f>IF(Guide!$B$11="","",Guide!$B$11)</x:f>
        <x:v>skedushwang</x:v>
      </x:c>
      <x:c r="Y47" s="29" t="n">
        <x:f>IF(Guide!$B$12="","",Guide!$B$12)</x:f>
        <x:v>46257</x:v>
      </x:c>
      <x:c r="Z47" s="25" t="str">
        <x:f t="shared" si="0">IF(AND(COUNTIF(T47:V47,"preserved")+COUNTIF(T47:V47,"partial")+COUNTIF(T47:V47,"lost")=3,LEN(TRIM(X47))&gt;0,ISNUMBER(Y47),OR(COUNTIF(T47:V47,"partial")+COUNTIF(T47:V47,"lost")=0,LEN(TRIM(W47))&gt;0)),"complete","pending")</x:f>
        <x:v>complete</x:v>
      </x:c>
    </x:row>
    <x:row r="48" ht="57" customHeight="1">
      <x:c r="A48" s="27" t="s">
        <x:v>324</x:v>
      </x:c>
      <x:c r="B48" s="27" t="s">
        <x:v>316</x:v>
      </x:c>
      <x:c r="C48" s="27" t="s">
        <x:v>73</x:v>
      </x:c>
      <x:c r="D48" s="27" t="s">
        <x:v>74</x:v>
      </x:c>
      <x:c r="E48" s="26" t="s">
        <x:v>317</x:v>
      </x:c>
      <x:c r="F48" s="26" t="s">
        <x:v>61</x:v>
      </x:c>
      <x:c r="G48" s="26" t="s">
        <x:v>61</x:v>
      </x:c>
      <x:c r="H48" s="26" t="s">
        <x:v>318</x:v>
      </x:c>
      <x:c r="I48" s="26" t="s">
        <x:v>319</x:v>
      </x:c>
      <x:c r="J48" s="26" t="s">
        <x:v>75</x:v>
      </x:c>
      <x:c r="K48" s="26" t="s">
        <x:v>76</x:v>
      </x:c>
      <x:c r="L48" s="26" t="s">
        <x:v>61</x:v>
      </x:c>
      <x:c r="M48" s="26" t="s">
        <x:v>61</x:v>
      </x:c>
      <x:c r="N48" s="26" t="s">
        <x:v>61</x:v>
      </x:c>
      <x:c r="O48" s="26" t="s">
        <x:v>61</x:v>
      </x:c>
      <x:c r="P48" s="26" t="s">
        <x:v>61</x:v>
      </x:c>
      <x:c r="Q48" s="26" t="s">
        <x:v>61</x:v>
      </x:c>
      <x:c r="R48" s="26" t="s">
        <x:v>61</x:v>
      </x:c>
      <x:c r="S48" s="26" t="s">
        <x:v>61</x:v>
      </x:c>
      <x:c r="T48" s="28" t="s">
        <x:v>77</x:v>
      </x:c>
      <x:c r="U48" s="28" t="s">
        <x:v>77</x:v>
      </x:c>
      <x:c r="V48" s="28" t="s">
        <x:v>77</x:v>
      </x:c>
      <x:c r="W48" s="24" t="s">
        <x:v>78</x:v>
      </x:c>
      <x:c r="X48" s="25" t="str">
        <x:f>IF(Guide!$B$11="","",Guide!$B$11)</x:f>
        <x:v>skedushwang</x:v>
      </x:c>
      <x:c r="Y48" s="29" t="n">
        <x:f>IF(Guide!$B$12="","",Guide!$B$12)</x:f>
        <x:v>46257</x:v>
      </x:c>
      <x:c r="Z48" s="25" t="str">
        <x:f t="shared" si="0">IF(AND(COUNTIF(T48:V48,"preserved")+COUNTIF(T48:V48,"partial")+COUNTIF(T48:V48,"lost")=3,LEN(TRIM(X48))&gt;0,ISNUMBER(Y48),OR(COUNTIF(T48:V48,"partial")+COUNTIF(T48:V48,"lost")=0,LEN(TRIM(W48))&gt;0)),"complete","pending")</x:f>
        <x:v>complete</x:v>
      </x:c>
    </x:row>
    <x:row r="49" ht="57" customHeight="1">
      <x:c r="A49" s="27" t="s">
        <x:v>325</x:v>
      </x:c>
      <x:c r="B49" s="27" t="s">
        <x:v>326</x:v>
      </x:c>
      <x:c r="C49" s="27" t="s">
        <x:v>57</x:v>
      </x:c>
      <x:c r="D49" s="27" t="s">
        <x:v>58</x:v>
      </x:c>
      <x:c r="E49" s="26" t="s">
        <x:v>109</x:v>
      </x:c>
      <x:c r="F49" s="26" t="s">
        <x:v>327</x:v>
      </x:c>
      <x:c r="G49" s="26" t="s">
        <x:v>61</x:v>
      </x:c>
      <x:c r="H49" s="26" t="s">
        <x:v>328</x:v>
      </x:c>
      <x:c r="I49" s="26" t="s">
        <x:v>329</x:v>
      </x:c>
      <x:c r="J49" s="26" t="s">
        <x:v>64</x:v>
      </x:c>
      <x:c r="K49" s="26" t="s">
        <x:v>61</x:v>
      </x:c>
      <x:c r="L49" s="26" t="s">
        <x:v>269</x:v>
      </x:c>
      <x:c r="M49" s="26" t="s">
        <x:v>61</x:v>
      </x:c>
      <x:c r="N49" s="26" t="s">
        <x:v>330</x:v>
      </x:c>
      <x:c r="O49" s="26" t="s">
        <x:v>331</x:v>
      </x:c>
      <x:c r="P49" s="26" t="s">
        <x:v>332</x:v>
      </x:c>
      <x:c r="Q49" s="26" t="s">
        <x:v>333</x:v>
      </x:c>
      <x:c r="R49" s="26" t="s">
        <x:v>70</x:v>
      </x:c>
      <x:c r="S49" s="26" t="s">
        <x:v>334</x:v>
      </x:c>
      <x:c r="T49" s="28" t="s">
        <x:v>16</x:v>
      </x:c>
      <x:c r="U49" s="28" t="s">
        <x:v>16</x:v>
      </x:c>
      <x:c r="V49" s="28" t="s">
        <x:v>16</x:v>
      </x:c>
      <x:c r="W49" s="24"/>
      <x:c r="X49" s="25" t="str">
        <x:f>IF(Guide!$B$11="","",Guide!$B$11)</x:f>
        <x:v>skedushwang</x:v>
      </x:c>
      <x:c r="Y49" s="29" t="n">
        <x:f>IF(Guide!$B$12="","",Guide!$B$12)</x:f>
        <x:v>46257</x:v>
      </x:c>
      <x:c r="Z49" s="25" t="str">
        <x:f t="shared" si="0">IF(AND(COUNTIF(T49:V49,"preserved")+COUNTIF(T49:V49,"partial")+COUNTIF(T49:V49,"lost")=3,LEN(TRIM(X49))&gt;0,ISNUMBER(Y49),OR(COUNTIF(T49:V49,"partial")+COUNTIF(T49:V49,"lost")=0,LEN(TRIM(W49))&gt;0)),"complete","pending")</x:f>
        <x:v>complete</x:v>
      </x:c>
    </x:row>
    <x:row r="50" ht="57" customHeight="1">
      <x:c r="A50" s="27" t="s">
        <x:v>335</x:v>
      </x:c>
      <x:c r="B50" s="27" t="s">
        <x:v>326</x:v>
      </x:c>
      <x:c r="C50" s="27" t="s">
        <x:v>73</x:v>
      </x:c>
      <x:c r="D50" s="27" t="s">
        <x:v>74</x:v>
      </x:c>
      <x:c r="E50" s="26" t="s">
        <x:v>109</x:v>
      </x:c>
      <x:c r="F50" s="26" t="s">
        <x:v>327</x:v>
      </x:c>
      <x:c r="G50" s="26" t="s">
        <x:v>61</x:v>
      </x:c>
      <x:c r="H50" s="26" t="s">
        <x:v>328</x:v>
      </x:c>
      <x:c r="I50" s="26" t="s">
        <x:v>329</x:v>
      </x:c>
      <x:c r="J50" s="26" t="s">
        <x:v>75</x:v>
      </x:c>
      <x:c r="K50" s="26" t="s">
        <x:v>76</x:v>
      </x:c>
      <x:c r="L50" s="26" t="s">
        <x:v>61</x:v>
      </x:c>
      <x:c r="M50" s="26" t="s">
        <x:v>61</x:v>
      </x:c>
      <x:c r="N50" s="26" t="s">
        <x:v>61</x:v>
      </x:c>
      <x:c r="O50" s="26" t="s">
        <x:v>61</x:v>
      </x:c>
      <x:c r="P50" s="26" t="s">
        <x:v>61</x:v>
      </x:c>
      <x:c r="Q50" s="26" t="s">
        <x:v>61</x:v>
      </x:c>
      <x:c r="R50" s="26" t="s">
        <x:v>61</x:v>
      </x:c>
      <x:c r="S50" s="26" t="s">
        <x:v>61</x:v>
      </x:c>
      <x:c r="T50" s="28" t="s">
        <x:v>77</x:v>
      </x:c>
      <x:c r="U50" s="28" t="s">
        <x:v>77</x:v>
      </x:c>
      <x:c r="V50" s="28" t="s">
        <x:v>77</x:v>
      </x:c>
      <x:c r="W50" s="24" t="s">
        <x:v>78</x:v>
      </x:c>
      <x:c r="X50" s="25" t="str">
        <x:f>IF(Guide!$B$11="","",Guide!$B$11)</x:f>
        <x:v>skedushwang</x:v>
      </x:c>
      <x:c r="Y50" s="29" t="n">
        <x:f>IF(Guide!$B$12="","",Guide!$B$12)</x:f>
        <x:v>46257</x:v>
      </x:c>
      <x:c r="Z50" s="25" t="str">
        <x:f t="shared" si="0">IF(AND(COUNTIF(T50:V50,"preserved")+COUNTIF(T50:V50,"partial")+COUNTIF(T50:V50,"lost")=3,LEN(TRIM(X50))&gt;0,ISNUMBER(Y50),OR(COUNTIF(T50:V50,"partial")+COUNTIF(T50:V50,"lost")=0,LEN(TRIM(W50))&gt;0)),"complete","pending")</x:f>
        <x:v>complete</x:v>
      </x:c>
    </x:row>
    <x:row r="51" ht="57" customHeight="1">
      <x:c r="A51" s="27" t="s">
        <x:v>336</x:v>
      </x:c>
      <x:c r="B51" s="27" t="s">
        <x:v>337</x:v>
      </x:c>
      <x:c r="C51" s="27" t="s">
        <x:v>57</x:v>
      </x:c>
      <x:c r="D51" s="27" t="s">
        <x:v>58</x:v>
      </x:c>
      <x:c r="E51" s="26" t="s">
        <x:v>338</x:v>
      </x:c>
      <x:c r="F51" s="26" t="s">
        <x:v>61</x:v>
      </x:c>
      <x:c r="G51" s="26" t="s">
        <x:v>61</x:v>
      </x:c>
      <x:c r="H51" s="26" t="s">
        <x:v>338</x:v>
      </x:c>
      <x:c r="I51" s="26" t="s">
        <x:v>339</x:v>
      </x:c>
      <x:c r="J51" s="26" t="s">
        <x:v>64</x:v>
      </x:c>
      <x:c r="K51" s="26" t="s">
        <x:v>61</x:v>
      </x:c>
      <x:c r="L51" s="26" t="s">
        <x:v>269</x:v>
      </x:c>
      <x:c r="M51" s="26" t="s">
        <x:v>340</x:v>
      </x:c>
      <x:c r="N51" s="26" t="s">
        <x:v>61</x:v>
      </x:c>
      <x:c r="O51" s="26" t="s">
        <x:v>341</x:v>
      </x:c>
      <x:c r="P51" s="26" t="s">
        <x:v>342</x:v>
      </x:c>
      <x:c r="Q51" s="26" t="s">
        <x:v>61</x:v>
      </x:c>
      <x:c r="R51" s="26" t="s">
        <x:v>70</x:v>
      </x:c>
      <x:c r="S51" s="26" t="s">
        <x:v>343</x:v>
      </x:c>
      <x:c r="T51" s="28" t="s">
        <x:v>16</x:v>
      </x:c>
      <x:c r="U51" s="28" t="s">
        <x:v>16</x:v>
      </x:c>
      <x:c r="V51" s="28" t="s">
        <x:v>16</x:v>
      </x:c>
      <x:c r="W51" s="24"/>
      <x:c r="X51" s="25" t="str">
        <x:f>IF(Guide!$B$11="","",Guide!$B$11)</x:f>
        <x:v>skedushwang</x:v>
      </x:c>
      <x:c r="Y51" s="29" t="n">
        <x:f>IF(Guide!$B$12="","",Guide!$B$12)</x:f>
        <x:v>46257</x:v>
      </x:c>
      <x:c r="Z51" s="25" t="str">
        <x:f t="shared" si="0">IF(AND(COUNTIF(T51:V51,"preserved")+COUNTIF(T51:V51,"partial")+COUNTIF(T51:V51,"lost")=3,LEN(TRIM(X51))&gt;0,ISNUMBER(Y51),OR(COUNTIF(T51:V51,"partial")+COUNTIF(T51:V51,"lost")=0,LEN(TRIM(W51))&gt;0)),"complete","pending")</x:f>
        <x:v>complete</x:v>
      </x:c>
    </x:row>
    <x:row r="52" ht="57" customHeight="1">
      <x:c r="A52" s="27" t="s">
        <x:v>344</x:v>
      </x:c>
      <x:c r="B52" s="27" t="s">
        <x:v>337</x:v>
      </x:c>
      <x:c r="C52" s="27" t="s">
        <x:v>73</x:v>
      </x:c>
      <x:c r="D52" s="27" t="s">
        <x:v>74</x:v>
      </x:c>
      <x:c r="E52" s="26" t="s">
        <x:v>338</x:v>
      </x:c>
      <x:c r="F52" s="26" t="s">
        <x:v>61</x:v>
      </x:c>
      <x:c r="G52" s="26" t="s">
        <x:v>61</x:v>
      </x:c>
      <x:c r="H52" s="26" t="s">
        <x:v>338</x:v>
      </x:c>
      <x:c r="I52" s="26" t="s">
        <x:v>339</x:v>
      </x:c>
      <x:c r="J52" s="26" t="s">
        <x:v>75</x:v>
      </x:c>
      <x:c r="K52" s="26" t="s">
        <x:v>76</x:v>
      </x:c>
      <x:c r="L52" s="26" t="s">
        <x:v>61</x:v>
      </x:c>
      <x:c r="M52" s="26" t="s">
        <x:v>61</x:v>
      </x:c>
      <x:c r="N52" s="26" t="s">
        <x:v>61</x:v>
      </x:c>
      <x:c r="O52" s="26" t="s">
        <x:v>61</x:v>
      </x:c>
      <x:c r="P52" s="26" t="s">
        <x:v>61</x:v>
      </x:c>
      <x:c r="Q52" s="26" t="s">
        <x:v>61</x:v>
      </x:c>
      <x:c r="R52" s="26" t="s">
        <x:v>61</x:v>
      </x:c>
      <x:c r="S52" s="26" t="s">
        <x:v>61</x:v>
      </x:c>
      <x:c r="T52" s="28" t="s">
        <x:v>77</x:v>
      </x:c>
      <x:c r="U52" s="28" t="s">
        <x:v>77</x:v>
      </x:c>
      <x:c r="V52" s="28" t="s">
        <x:v>77</x:v>
      </x:c>
      <x:c r="W52" s="24" t="s">
        <x:v>78</x:v>
      </x:c>
      <x:c r="X52" s="25" t="str">
        <x:f>IF(Guide!$B$11="","",Guide!$B$11)</x:f>
        <x:v>skedushwang</x:v>
      </x:c>
      <x:c r="Y52" s="29" t="n">
        <x:f>IF(Guide!$B$12="","",Guide!$B$12)</x:f>
        <x:v>46257</x:v>
      </x:c>
      <x:c r="Z52" s="25" t="str">
        <x:f t="shared" si="0">IF(AND(COUNTIF(T52:V52,"preserved")+COUNTIF(T52:V52,"partial")+COUNTIF(T52:V52,"lost")=3,LEN(TRIM(X52))&gt;0,ISNUMBER(Y52),OR(COUNTIF(T52:V52,"partial")+COUNTIF(T52:V52,"lost")=0,LEN(TRIM(W52))&gt;0)),"complete","pending")</x:f>
        <x:v>complete</x:v>
      </x:c>
    </x:row>
  </x:sheetData>
  <x:mergeCells>
    <x:mergeCell ref="A1:Z2"/>
    <x:mergeCell ref="A3:Z3"/>
  </x:mergeCells>
  <x:conditionalFormatting sqref="T5:V52">
    <x:cfRule type="containsText" dxfId="4" priority="1" operator="containsText" text="preserved"/>
    <x:cfRule type="containsText" dxfId="3" priority="2" operator="containsText" text="partial"/>
    <x:cfRule type="containsText" dxfId="2" priority="3" operator="containsText" text="lost"/>
  </x:conditionalFormatting>
  <x:conditionalFormatting sqref="Z5:Z52">
    <x:cfRule type="containsText" dxfId="1" priority="4" operator="containsText" text="complete"/>
    <x:cfRule type="containsText" dxfId="0" priority="5" operator="containsText" text="pending"/>
  </x:conditionalFormatting>
  <x:dataValidations count="1">
    <x:dataValidation type="list" sqref="T5:V52">
      <x:formula1>"preserved,partial,lost"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ba2d8b257c44c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2.1640625" customWidth="1"/>
    <x:col min="2" max="4" width="33.33203125" customWidth="1"/>
  </x:cols>
  <x:sheetData>
    <x:row r="1" ht="24" customHeight="1">
      <x:c r="A1" s="77" t="s">
        <x:v>345</x:v>
      </x:c>
      <x:c r="B1" s="77"/>
      <x:c r="C1" s="77"/>
      <x:c r="D1" s="77"/>
    </x:row>
    <x:row r="2" ht="24" customHeight="1">
      <x:c r="A2" s="77"/>
      <x:c r="B2" s="77"/>
      <x:c r="C2" s="77"/>
      <x:c r="D2" s="77"/>
    </x:row>
    <x:row r="4" ht="16">
      <x:c r="A4" s="30" t="s">
        <x:v>15</x:v>
      </x:c>
      <x:c r="B4" s="31" t="s">
        <x:v>16</x:v>
      </x:c>
      <x:c r="C4" s="31" t="s">
        <x:v>100</x:v>
      </x:c>
      <x:c r="D4" s="32" t="s">
        <x:v>77</x:v>
      </x:c>
    </x:row>
    <x:row r="5" ht="75" customHeight="1">
      <x:c r="A5" s="33" t="s">
        <x:v>19</x:v>
      </x:c>
      <x:c r="B5" s="35" t="s">
        <x:v>346</x:v>
      </x:c>
      <x:c r="C5" s="37" t="s">
        <x:v>347</x:v>
      </x:c>
      <x:c r="D5" s="39" t="s">
        <x:v>348</x:v>
      </x:c>
    </x:row>
    <x:row r="6" ht="75" customHeight="1">
      <x:c r="A6" s="33" t="s">
        <x:v>20</x:v>
      </x:c>
      <x:c r="B6" s="35" t="s">
        <x:v>349</x:v>
      </x:c>
      <x:c r="C6" s="37" t="s">
        <x:v>350</x:v>
      </x:c>
      <x:c r="D6" s="39" t="s">
        <x:v>351</x:v>
      </x:c>
    </x:row>
    <x:row r="7" ht="75" customHeight="1">
      <x:c r="A7" s="34" t="s">
        <x:v>21</x:v>
      </x:c>
      <x:c r="B7" s="36" t="s">
        <x:v>352</x:v>
      </x:c>
      <x:c r="C7" s="38" t="s">
        <x:v>353</x:v>
      </x:c>
      <x:c r="D7" s="40" t="s">
        <x:v>354</x:v>
      </x:c>
    </x:row>
    <x:row r="9" ht="16">
      <x:c r="A9" s="78" t="s">
        <x:v>355</x:v>
      </x:c>
      <x:c r="B9" s="78"/>
      <x:c r="C9" s="78"/>
      <x:c r="D9" s="78"/>
    </x:row>
    <x:row r="10" ht="25.5" customHeight="1">
      <x:c r="A10" s="79" t="s">
        <x:v>356</x:v>
      </x:c>
      <x:c r="B10" s="79"/>
      <x:c r="C10" s="79"/>
      <x:c r="D10" s="79"/>
    </x:row>
    <x:row r="11" ht="25.5" customHeight="1">
      <x:c r="A11" s="79" t="s">
        <x:v>357</x:v>
      </x:c>
      <x:c r="B11" s="79"/>
      <x:c r="C11" s="79"/>
      <x:c r="D11" s="79"/>
    </x:row>
    <x:row r="12" ht="25.5" customHeight="1">
      <x:c r="A12" s="79" t="s">
        <x:v>358</x:v>
      </x:c>
      <x:c r="B12" s="79"/>
      <x:c r="C12" s="79"/>
      <x:c r="D12" s="79"/>
    </x:row>
    <x:row r="13" ht="25.5" customHeight="1">
      <x:c r="A13" s="79" t="s">
        <x:v>359</x:v>
      </x:c>
      <x:c r="B13" s="79"/>
      <x:c r="C13" s="79"/>
      <x:c r="D13" s="79"/>
    </x:row>
    <x:row r="14" ht="25.5" customHeight="1">
      <x:c r="A14" s="79" t="s">
        <x:v>360</x:v>
      </x:c>
      <x:c r="B14" s="79"/>
      <x:c r="C14" s="79"/>
      <x:c r="D14" s="79"/>
    </x:row>
  </x:sheetData>
  <x:mergeCells>
    <x:mergeCell ref="A13:D13"/>
    <x:mergeCell ref="A14:D14"/>
    <x:mergeCell ref="A1:D2"/>
    <x:mergeCell ref="A9:D9"/>
    <x:mergeCell ref="A10:D10"/>
    <x:mergeCell ref="A11:D11"/>
    <x:mergeCell ref="A12:D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4.5" customWidth="1"/>
    <x:col min="2" max="2" width="40" customWidth="1"/>
    <x:col min="3" max="3" width="47.83203125" customWidth="1"/>
    <x:col min="4" max="4" width="20" customWidth="1"/>
    <x:col min="5" max="5" width="23.33203125" customWidth="1"/>
    <x:col min="6" max="6" width="20" customWidth="1"/>
  </x:cols>
  <x:sheetData>
    <x:row r="1" ht="24" customHeight="1">
      <x:c r="A1" s="75" t="s">
        <x:v>361</x:v>
      </x:c>
      <x:c r="B1" s="75"/>
      <x:c r="C1" s="75"/>
      <x:c r="D1" s="75"/>
      <x:c r="E1" s="75"/>
      <x:c r="F1" s="75"/>
      <x:c r="G1" s="75"/>
      <x:c r="H1" s="75"/>
    </x:row>
    <x:row r="2" ht="24" customHeight="1">
      <x:c r="A2" s="75"/>
      <x:c r="B2" s="75"/>
      <x:c r="C2" s="75"/>
      <x:c r="D2" s="75"/>
      <x:c r="E2" s="75"/>
      <x:c r="F2" s="75"/>
      <x:c r="G2" s="75"/>
      <x:c r="H2" s="75"/>
    </x:row>
    <x:row r="4" ht="15">
      <x:c r="A4" s="5" t="s">
        <x:v>362</x:v>
      </x:c>
      <x:c r="B4" s="6" t="s">
        <x:v>363</x:v>
      </x:c>
      <x:c r="D4" s="5" t="s">
        <x:v>31</x:v>
      </x:c>
      <x:c r="E4" s="6" t="s">
        <x:v>32</x:v>
      </x:c>
    </x:row>
    <x:row r="5">
      <x:c r="A5" s="41" t="s">
        <x:v>16</x:v>
      </x:c>
      <x:c r="B5" s="42" t="s">
        <x:v>364</x:v>
      </x:c>
      <x:c r="D5" s="1" t="s">
        <x:v>57</x:v>
      </x:c>
      <x:c r="E5" s="2" t="s">
        <x:v>58</x:v>
      </x:c>
    </x:row>
    <x:row r="6">
      <x:c r="A6" s="43" t="s">
        <x:v>100</x:v>
      </x:c>
      <x:c r="B6" s="44" t="s">
        <x:v>365</x:v>
      </x:c>
      <x:c r="D6" s="3" t="s">
        <x:v>73</x:v>
      </x:c>
      <x:c r="E6" s="4" t="s">
        <x:v>74</x:v>
      </x:c>
    </x:row>
    <x:row r="7">
      <x:c r="A7" s="45" t="s">
        <x:v>77</x:v>
      </x:c>
      <x:c r="B7" s="46" t="s">
        <x:v>366</x:v>
      </x:c>
    </x:row>
    <x:row r="10" ht="15">
      <x:c r="A10" s="53" t="s">
        <x:v>367</x:v>
      </x:c>
      <x:c r="B10" s="54" t="s">
        <x:v>368</x:v>
      </x:c>
      <x:c r="C10" s="55" t="s">
        <x:v>369</x:v>
      </x:c>
      <x:c r="E10" s="5" t="s">
        <x:v>370</x:v>
      </x:c>
      <x:c r="F10" s="6" t="s">
        <x:v>371</x:v>
      </x:c>
    </x:row>
    <x:row r="11" ht="30">
      <x:c r="A11" s="47" t="s">
        <x:v>372</x:v>
      </x:c>
      <x:c r="B11" s="48" t="s">
        <x:v>373</x:v>
      </x:c>
      <x:c r="C11" s="49" t="s">
        <x:v>374</x:v>
      </x:c>
      <x:c r="E11" s="1" t="s">
        <x:v>375</x:v>
      </x:c>
      <x:c r="F11" s="2" t="s">
        <x:v>376</x:v>
      </x:c>
    </x:row>
    <x:row r="12" ht="30">
      <x:c r="A12" s="47" t="s">
        <x:v>377</x:v>
      </x:c>
      <x:c r="B12" s="48" t="s">
        <x:v>378</x:v>
      </x:c>
      <x:c r="C12" s="49" t="s">
        <x:v>379</x:v>
      </x:c>
      <x:c r="E12" s="1" t="s">
        <x:v>380</x:v>
      </x:c>
      <x:c r="F12" s="2" t="s">
        <x:v>381</x:v>
      </x:c>
    </x:row>
    <x:row r="13" ht="30">
      <x:c r="A13" s="47" t="s">
        <x:v>382</x:v>
      </x:c>
      <x:c r="B13" s="48" t="s">
        <x:v>383</x:v>
      </x:c>
      <x:c r="C13" s="49" t="s">
        <x:v>384</x:v>
      </x:c>
      <x:c r="E13" s="1" t="s">
        <x:v>385</x:v>
      </x:c>
      <x:c r="F13" s="2">
        <x:v>24</x:v>
      </x:c>
    </x:row>
    <x:row r="14" ht="30">
      <x:c r="A14" s="47" t="s">
        <x:v>386</x:v>
      </x:c>
      <x:c r="B14" s="48" t="s">
        <x:v>387</x:v>
      </x:c>
      <x:c r="C14" s="49" t="s">
        <x:v>388</x:v>
      </x:c>
      <x:c r="E14" s="1" t="s">
        <x:v>389</x:v>
      </x:c>
      <x:c r="F14" s="2">
        <x:v>48</x:v>
      </x:c>
    </x:row>
    <x:row r="15" ht="30">
      <x:c r="A15" s="50" t="s">
        <x:v>390</x:v>
      </x:c>
      <x:c r="B15" s="51" t="s">
        <x:v>391</x:v>
      </x:c>
      <x:c r="C15" s="52" t="s">
        <x:v>392</x:v>
      </x:c>
      <x:c r="E15" s="1" t="s">
        <x:v>393</x:v>
      </x:c>
      <x:c r="F15" s="2" t="s">
        <x:v>394</x:v>
      </x:c>
    </x:row>
    <x:row r="16">
      <x:c r="E16" s="3" t="s">
        <x:v>395</x:v>
      </x:c>
      <x:c r="F16" s="4" t="s">
        <x:v>396</x:v>
      </x:c>
    </x:row>
  </x:sheetData>
  <x:mergeCells>
    <x:mergeCell ref="A1:H2"/>
  </x:mergeCells>
  <x:pageMargins left="0.7" right="0.7" top="0.75" bottom="0.75" header="0.3" footer="0.3"/>
</x:worksheet>
</file>