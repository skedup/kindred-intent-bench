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6c71224cb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df348ebd5aec4359"/>
    <x:sheet xmlns:r="http://schemas.openxmlformats.org/officeDocument/2006/relationships" name="Audit" sheetId="2" r:id="R9690dd7c7052465f"/>
    <x:sheet xmlns:r="http://schemas.openxmlformats.org/officeDocument/2006/relationships" name="Rubric" sheetId="3" r:id="Rc867571bb7204f1b"/>
    <x:sheet xmlns:r="http://schemas.openxmlformats.org/officeDocument/2006/relationships" name="Options" sheetId="4" r:id="R6e71fa9702b1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 hh:mm"/>
  </x:numFmts>
  <x:fonts count="24">
    <x:font>
      <x:sz val="11"/>
      <x:name val="Carlito"/>
    </x:font>
    <x:font>
      <x:b/>
      <x:sz val="18"/>
      <x:color rgb="FFFFFFFF"/>
      <x:name val="Aptos Display"/>
    </x:font>
    <x:font>
      <x:b/>
      <x:sz val="12"/>
      <x:color rgb="FF17324D"/>
      <x:name val="Carlito"/>
    </x:font>
    <x:font>
      <x:sz val="11"/>
      <x:color rgb="FF263442"/>
      <x:name val="Carlito"/>
    </x:font>
    <x:font>
      <x:b/>
      <x:sz val="11"/>
      <x:color rgb="FF5B6573"/>
      <x:name val="Carlito"/>
    </x:font>
    <x:font>
      <x:sz val="11"/>
      <x:color rgb="FF174A73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2"/>
      <x:color rgb="FF17324D"/>
      <x:name val="Aptos"/>
    </x:font>
    <x:font>
      <x:sz val="11"/>
      <x:color rgb="FF263442"/>
      <x:name val="Aptos"/>
    </x:font>
    <x:font>
      <x:b/>
      <x:sz val="11"/>
      <x:color rgb="FF5B6573"/>
      <x:name val="Aptos"/>
    </x:font>
    <x:font>
      <x:sz val="11"/>
      <x:color rgb="FF174A73"/>
      <x:name val="Aptos"/>
    </x:font>
    <x:font>
      <x:b/>
      <x:sz val="11"/>
      <x:color rgb="FFFFFFFF"/>
      <x:name val="Aptos"/>
    </x:font>
    <x:font>
      <x:b/>
      <x:sz val="12"/>
      <x:color rgb="FFFFFFFF"/>
      <x:name val="Aptos"/>
    </x:font>
    <x:font>
      <x:b/>
      <x:sz val="16"/>
      <x:color rgb="FFFFFFFF"/>
      <x:name val="Aptos Display"/>
    </x:font>
    <x:font>
      <x:i/>
      <x:sz val="11"/>
      <x:color rgb="FF17324D"/>
      <x:name val="Carlito"/>
    </x:font>
    <x:font>
      <x:sz val="10"/>
      <x:color rgb="FF263442"/>
      <x:name val="Aptos"/>
    </x:font>
    <x:font>
      <x:b/>
      <x:sz val="10"/>
      <x:color rgb="FFFFFFFF"/>
      <x:name val="Aptos"/>
    </x:font>
    <x:font>
      <x:sz val="10"/>
      <x:color rgb="FF174A73"/>
      <x:name val="Aptos"/>
    </x:font>
    <x:font>
      <x:sz val="10"/>
      <x:color rgb="FF5B6573"/>
      <x:name val="Aptos"/>
    </x:font>
    <x:font>
      <x:b/>
      <x:sz val="17"/>
      <x:color rgb="FFFFFFFF"/>
      <x:name val="Aptos Display"/>
    </x:font>
    <x:font>
      <x:b/>
      <x:sz val="11"/>
      <x:color rgb="FF17324D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6F2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DCEEFF"/>
      </x:patternFill>
    </x:fill>
    <x:fill>
      <x:patternFill patternType="solid">
        <x:fgColor rgb="FFE8EEF4"/>
      </x:patternFill>
    </x:fill>
    <x:fill>
      <x:patternFill patternType="solid">
        <x:fgColor rgb="FFEEF2F6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16">
    <x:border/>
    <x:border>
      <x:right style="thin">
        <x:color rgb="FFCAD5DF"/>
      </x:right>
      <x:bottom style="thin">
        <x:color rgb="FFCAD5DF"/>
      </x:bottom>
    </x:border>
    <x:border>
      <x:left style="thin">
        <x:color rgb="FFCAD5DF"/>
      </x:left>
      <x:right style="thin">
        <x:color rgb="FFCAD5DF"/>
      </x:right>
      <x:bottom style="thin">
        <x:color rgb="FFCAD5DF"/>
      </x:bottom>
    </x:border>
    <x:border>
      <x:left style="thin">
        <x:color rgb="FFCAD5DF"/>
      </x:left>
      <x:bottom style="thin">
        <x:color rgb="FFCAD5DF"/>
      </x:bottom>
    </x:border>
    <x:border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  <x:top style="thin">
        <x:color rgb="FFCAD5DF"/>
      </x:top>
      <x:bottom style="thin">
        <x:color rgb="FFCAD5DF"/>
      </x:bottom>
    </x:border>
    <x:border>
      <x:right style="thin">
        <x:color rgb="FFCAD5DF"/>
      </x:right>
      <x:top style="thin">
        <x:color rgb="FFCAD5DF"/>
      </x:top>
    </x:border>
    <x:border>
      <x:left style="thin">
        <x:color rgb="FFCAD5DF"/>
      </x:left>
      <x:right style="thin">
        <x:color rgb="FFCAD5DF"/>
      </x:right>
      <x:top style="thin">
        <x:color rgb="FFCAD5DF"/>
      </x:top>
    </x:border>
    <x:border>
      <x:left style="thin">
        <x:color rgb="FFCAD5DF"/>
      </x:left>
      <x:top style="thin">
        <x:color rgb="FFCAD5DF"/>
      </x:top>
    </x:border>
    <x:border>
      <x:left style="thin">
        <x:color rgb="FF7AA7CC"/>
      </x:left>
      <x:top style="thin">
        <x:color rgb="FF7AA7CC"/>
      </x:top>
    </x:border>
    <x:border>
      <x:top style="thin">
        <x:color rgb="FF7AA7CC"/>
      </x:top>
    </x:border>
    <x:border>
      <x:right style="thin">
        <x:color rgb="FF7AA7CC"/>
      </x:right>
      <x:top style="thin">
        <x:color rgb="FF7AA7CC"/>
      </x:top>
    </x:border>
    <x:border>
      <x:left style="thin">
        <x:color rgb="FF7AA7CC"/>
      </x:left>
      <x:bottom style="thin">
        <x:color rgb="FF7AA7CC"/>
      </x:bottom>
    </x:border>
    <x:border>
      <x:bottom style="thin">
        <x:color rgb="FF7AA7CC"/>
      </x:bottom>
    </x:border>
    <x:border>
      <x:right style="thin">
        <x:color rgb="FF7AA7CC"/>
      </x:right>
      <x:bottom style="thin">
        <x:color rgb="FF7AA7CC"/>
      </x:bottom>
    </x:border>
  </x:borders>
  <x:cellStyleXfs count="1">
    <x:xf numFmtId="0" fontId="0" fillId="0" borderId="0"/>
  </x:cellStyleXfs>
  <x:cellXfs count="2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4" xfId="0" applyNumberFormat="1" applyFont="1" applyFill="1" applyBorder="1"/>
    <x:xf numFmtId="0" fontId="0" fillId="5" borderId="7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7" xfId="0" applyNumberFormat="1" applyFont="1" applyFill="1" applyBorder="1"/>
    <x:xf numFmtId="0" fontId="0" fillId="4" borderId="3" xfId="0" applyNumberFormat="1" applyFont="1" applyFill="1" applyBorder="1"/>
    <x:xf numFmtId="0" fontId="0" fillId="4" borderId="6" xfId="0" applyNumberFormat="1" applyFont="1" applyFill="1" applyBorder="1"/>
    <x:xf numFmtId="200" fontId="0" fillId="4" borderId="6" xfId="0" applyNumberFormat="1" applyFont="1" applyFill="1" applyBorder="1"/>
    <x:xf numFmtId="0" fontId="0" fillId="4" borderId="9" xfId="0" applyNumberFormat="1" applyFont="1" applyFill="1" applyBorder="1"/>
    <x:xf numFmtId="0" fontId="2" fillId="4" borderId="3" xfId="0" applyNumberFormat="1" applyFont="1" applyFill="1" applyBorder="1"/>
    <x:xf numFmtId="0" fontId="2" fillId="4" borderId="6" xfId="0" applyNumberFormat="1" applyFont="1" applyFill="1" applyBorder="1"/>
    <x:xf numFmtId="200" fontId="2" fillId="4" borderId="6" xfId="0" applyNumberFormat="1" applyFont="1" applyFill="1" applyBorder="1"/>
    <x:xf numFmtId="0" fontId="2" fillId="4" borderId="9" xfId="0" applyNumberFormat="1" applyFont="1" applyFill="1" applyBorder="1"/>
    <x:xf numFmtId="0" fontId="2" fillId="4" borderId="3" xfId="0" applyNumberFormat="1" applyFont="1" applyFill="1" applyBorder="1" applyAlignment="1">
      <x:alignment horizontal="right"/>
    </x:xf>
    <x:xf numFmtId="0" fontId="2" fillId="4" borderId="6" xfId="0" applyNumberFormat="1" applyFont="1" applyFill="1" applyBorder="1" applyAlignment="1">
      <x:alignment horizontal="right"/>
    </x:xf>
    <x:xf numFmtId="200" fontId="2" fillId="4" borderId="6" xfId="0" applyNumberFormat="1" applyFont="1" applyFill="1" applyBorder="1" applyAlignment="1">
      <x:alignment horizontal="right"/>
    </x:xf>
    <x:xf numFmtId="0" fontId="2" fillId="4" borderId="9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201" fontId="5" fillId="6" borderId="1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right"/>
    </x:xf>
    <x:xf numFmtId="0" fontId="0" fillId="0" borderId="8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horizontal="right" vertical="center"/>
    </x:xf>
    <x:xf numFmtId="200" fontId="2" fillId="4" borderId="6" xfId="0" applyNumberFormat="1" applyFont="1" applyFill="1" applyBorder="1" applyAlignment="1">
      <x:alignment horizontal="right" vertical="center"/>
    </x:xf>
    <x:xf numFmtId="0" fontId="4" fillId="5" borderId="7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horizontal="right" vertical="center"/>
    </x:xf>
    <x:xf numFmtId="0" fontId="4" fillId="5" borderId="0" xfId="0" applyNumberFormat="1" applyFont="1" applyFill="1" applyBorder="1" applyAlignment="1">
      <x:alignment vertical="center"/>
    </x:xf>
    <x:xf numFmtId="0" fontId="5" fillId="6" borderId="10" xfId="0" applyNumberFormat="1" applyFont="1" applyFill="1" applyBorder="1" applyAlignment="1">
      <x:alignment vertical="center"/>
    </x:xf>
    <x:xf numFmtId="0" fontId="5" fillId="6" borderId="11" xfId="0" applyNumberFormat="1" applyFont="1" applyFill="1" applyBorder="1" applyAlignment="1">
      <x:alignment vertical="center"/>
    </x:xf>
    <x:xf numFmtId="0" fontId="5" fillId="6" borderId="12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201" fontId="5" fillId="6" borderId="13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0" fontId="5" fillId="6" borderId="1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right" vertical="center"/>
    </x:xf>
    <x:xf numFmtId="0" fontId="0" fillId="0" borderId="6" xfId="0" applyNumberFormat="1" applyFont="1" applyFill="1" applyBorder="1" applyAlignment="1">
      <x:alignment horizontal="right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/>
    </x:xf>
    <x:xf numFmtId="0" fontId="10" fillId="4" borderId="3" xfId="0" applyNumberFormat="1" applyFont="1" applyFill="1" applyBorder="1" applyAlignment="1">
      <x:alignment horizontal="right" vertical="center"/>
    </x:xf>
    <x:xf numFmtId="0" fontId="11" fillId="4" borderId="4" xfId="0" applyNumberFormat="1" applyFont="1" applyFill="1" applyBorder="1" applyAlignment="1">
      <x:alignment vertical="center" wrapText="1"/>
    </x:xf>
    <x:xf numFmtId="0" fontId="11" fillId="4" borderId="5" xfId="0" applyNumberFormat="1" applyFont="1" applyFill="1" applyBorder="1" applyAlignment="1">
      <x:alignment vertical="center" wrapText="1"/>
    </x:xf>
    <x:xf numFmtId="0" fontId="11" fillId="4" borderId="6" xfId="0" applyNumberFormat="1" applyFont="1" applyFill="1" applyBorder="1" applyAlignment="1">
      <x:alignment vertical="center" wrapText="1"/>
    </x:xf>
    <x:xf numFmtId="0" fontId="12" fillId="5" borderId="4" xfId="0" applyNumberFormat="1" applyFont="1" applyFill="1" applyBorder="1" applyAlignment="1">
      <x:alignment vertical="center"/>
    </x:xf>
    <x:xf numFmtId="0" fontId="10" fillId="4" borderId="6" xfId="0" applyNumberFormat="1" applyFont="1" applyFill="1" applyBorder="1" applyAlignment="1">
      <x:alignment horizontal="right" vertical="center"/>
    </x:xf>
    <x:xf numFmtId="0" fontId="11" fillId="4" borderId="7" xfId="0" applyNumberFormat="1" applyFont="1" applyFill="1" applyBorder="1" applyAlignment="1">
      <x:alignment vertical="center" wrapText="1"/>
    </x:xf>
    <x:xf numFmtId="0" fontId="11" fillId="4" borderId="8" xfId="0" applyNumberFormat="1" applyFont="1" applyFill="1" applyBorder="1" applyAlignment="1">
      <x:alignment vertical="center" wrapText="1"/>
    </x:xf>
    <x:xf numFmtId="0" fontId="11" fillId="4" borderId="9" xfId="0" applyNumberFormat="1" applyFont="1" applyFill="1" applyBorder="1" applyAlignment="1">
      <x:alignment vertical="center" wrapText="1"/>
    </x:xf>
    <x:xf numFmtId="200" fontId="10" fillId="4" borderId="6" xfId="0" applyNumberFormat="1" applyFont="1" applyFill="1" applyBorder="1" applyAlignment="1">
      <x:alignment horizontal="right" vertical="center"/>
    </x:xf>
    <x:xf numFmtId="0" fontId="12" fillId="5" borderId="7" xfId="0" applyNumberFormat="1" applyFont="1" applyFill="1" applyBorder="1" applyAlignment="1">
      <x:alignment vertical="center"/>
    </x:xf>
    <x:xf numFmtId="0" fontId="10" fillId="4" borderId="9" xfId="0" applyNumberFormat="1" applyFont="1" applyFill="1" applyBorder="1" applyAlignment="1">
      <x:alignment horizontal="right" vertical="center"/>
    </x:xf>
    <x:xf numFmtId="0" fontId="12" fillId="5" borderId="0" xfId="0" applyNumberFormat="1" applyFont="1" applyFill="1" applyBorder="1" applyAlignment="1">
      <x:alignment vertical="center"/>
    </x:xf>
    <x:xf numFmtId="0" fontId="13" fillId="6" borderId="10" xfId="0" applyNumberFormat="1" applyFont="1" applyFill="1" applyBorder="1" applyAlignment="1">
      <x:alignment vertical="center"/>
    </x:xf>
    <x:xf numFmtId="0" fontId="13" fillId="6" borderId="11" xfId="0" applyNumberFormat="1" applyFont="1" applyFill="1" applyBorder="1" applyAlignment="1">
      <x:alignment vertical="center"/>
    </x:xf>
    <x:xf numFmtId="0" fontId="13" fillId="6" borderId="12" xfId="0" applyNumberFormat="1" applyFont="1" applyFill="1" applyBorder="1" applyAlignment="1">
      <x:alignment vertical="center"/>
    </x:xf>
    <x:xf numFmtId="0" fontId="14" fillId="2" borderId="1" xfId="0" applyNumberFormat="1" applyFont="1" applyFill="1" applyBorder="1" applyAlignment="1">
      <x:alignment horizontal="center" vertical="center"/>
    </x:xf>
    <x:xf numFmtId="0" fontId="14" fillId="2" borderId="2" xfId="0" applyNumberFormat="1" applyFont="1" applyFill="1" applyBorder="1" applyAlignment="1">
      <x:alignment horizontal="center" vertical="center"/>
    </x:xf>
    <x:xf numFmtId="0" fontId="14" fillId="2" borderId="3" xfId="0" applyNumberFormat="1" applyFont="1" applyFill="1" applyBorder="1" applyAlignment="1">
      <x:alignment horizontal="center" vertical="center"/>
    </x:xf>
    <x:xf numFmtId="201" fontId="13" fillId="6" borderId="13" xfId="0" applyNumberFormat="1" applyFont="1" applyFill="1" applyBorder="1" applyAlignment="1">
      <x:alignment vertical="center"/>
    </x:xf>
    <x:xf numFmtId="0" fontId="13" fillId="6" borderId="14" xfId="0" applyNumberFormat="1" applyFont="1" applyFill="1" applyBorder="1" applyAlignment="1">
      <x:alignment vertical="center"/>
    </x:xf>
    <x:xf numFmtId="0" fontId="13" fillId="6" borderId="15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horizontal="right" vertical="center"/>
    </x:xf>
    <x:xf numFmtId="0" fontId="9" fillId="0" borderId="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right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15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vertical="top"/>
    </x:xf>
    <x:xf numFmtId="0" fontId="18" fillId="2" borderId="0" xfId="0" applyNumberFormat="1" applyFont="1" applyFill="1" applyBorder="1" applyAlignment="1">
      <x:alignment vertical="top"/>
    </x:xf>
    <x:xf numFmtId="0" fontId="19" fillId="2" borderId="0" xfId="0" applyNumberFormat="1" applyFont="1" applyFill="1" applyBorder="1" applyAlignment="1">
      <x:alignment vertical="top"/>
    </x:xf>
    <x:xf numFmtId="0" fontId="19" fillId="2" borderId="0" xfId="0" applyNumberFormat="1" applyFont="1" applyFill="1" applyBorder="1" applyAlignment="1">
      <x:alignment vertical="top" wrapText="1"/>
    </x:xf>
    <x:xf numFmtId="0" fontId="19" fillId="2" borderId="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top"/>
    </x:xf>
    <x:xf numFmtId="0" fontId="18" fillId="6" borderId="0" xfId="0" applyNumberFormat="1" applyFont="1" applyFill="1" applyBorder="1" applyAlignment="1">
      <x:alignment vertical="top"/>
    </x:xf>
    <x:xf numFmtId="0" fontId="20" fillId="6" borderId="0" xfId="0" applyNumberFormat="1" applyFont="1" applyFill="1" applyBorder="1" applyAlignment="1">
      <x:alignment vertical="top"/>
    </x:xf>
    <x:xf numFmtId="0" fontId="20" fillId="6" borderId="0" xfId="0" applyNumberFormat="1" applyFont="1" applyFill="1" applyBorder="1" applyAlignment="1">
      <x:alignment vertical="top" wrapText="1"/>
    </x:xf>
    <x:xf numFmtId="0" fontId="18" fillId="8" borderId="0" xfId="0" applyNumberFormat="1" applyFont="1" applyFill="1" applyBorder="1" applyAlignment="1">
      <x:alignment vertical="top"/>
    </x:xf>
    <x:xf numFmtId="0" fontId="21" fillId="8" borderId="0" xfId="0" applyNumberFormat="1" applyFont="1" applyFill="1" applyBorder="1" applyAlignment="1">
      <x:alignment vertical="top"/>
    </x:xf>
    <x:xf numFmtId="0" fontId="18" fillId="5" borderId="0" xfId="0" applyNumberFormat="1" applyFont="1" applyFill="1" applyBorder="1" applyAlignment="1">
      <x:alignment vertical="top" wrapText="1"/>
    </x:xf>
    <x:xf numFmtId="0" fontId="18" fillId="5" borderId="0" xfId="0" applyNumberFormat="1" applyFont="1" applyFill="1" applyBorder="1" applyAlignment="1">
      <x:alignment vertical="center"/>
    </x:xf>
    <x:xf numFmtId="0" fontId="20" fillId="6" borderId="0" xfId="0" applyNumberFormat="1" applyFont="1" applyFill="1" applyBorder="1" applyAlignment="1">
      <x:alignment vertical="center" wrapText="1"/>
    </x:xf>
    <x:xf numFmtId="201" fontId="21" fillId="8" borderId="0" xfId="0" applyNumberFormat="1" applyFont="1" applyFill="1" applyBorder="1" applyAlignment="1">
      <x:alignment vertical="top"/>
    </x:xf>
    <x:xf numFmtId="0" fontId="22" fillId="2" borderId="0" xfId="0" applyNumberFormat="1" applyFont="1" applyFill="1" applyBorder="1"/>
    <x:xf numFmtId="0" fontId="22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2" borderId="1" xfId="0" applyNumberFormat="1" applyFont="1" applyFill="1" applyBorder="1" applyAlignment="1">
      <x:alignment vertical="top" wrapText="1"/>
    </x:xf>
    <x:xf numFmtId="0" fontId="11" fillId="2" borderId="2" xfId="0" applyNumberFormat="1" applyFont="1" applyFill="1" applyBorder="1" applyAlignment="1">
      <x:alignment vertical="top" wrapText="1"/>
    </x:xf>
    <x:xf numFmtId="0" fontId="11" fillId="2" borderId="3" xfId="0" applyNumberFormat="1" applyFont="1" applyFill="1" applyBorder="1" applyAlignment="1">
      <x:alignment vertical="top" wrapText="1"/>
    </x:xf>
    <x:xf numFmtId="0" fontId="14" fillId="2" borderId="1" xfId="0" applyNumberFormat="1" applyFont="1" applyFill="1" applyBorder="1" applyAlignment="1">
      <x:alignment vertical="top" wrapText="1"/>
    </x:xf>
    <x:xf numFmtId="0" fontId="14" fillId="2" borderId="2" xfId="0" applyNumberFormat="1" applyFont="1" applyFill="1" applyBorder="1" applyAlignment="1">
      <x:alignment vertical="top" wrapText="1"/>
    </x:xf>
    <x:xf numFmtId="0" fontId="14" fillId="2" borderId="3" xfId="0" applyNumberFormat="1" applyFont="1" applyFill="1" applyBorder="1" applyAlignment="1">
      <x:alignment vertical="top" wrapText="1"/>
    </x:xf>
    <x:xf numFmtId="0" fontId="14" fillId="2" borderId="1" xfId="0" applyNumberFormat="1" applyFont="1" applyFill="1" applyBorder="1" applyAlignment="1">
      <x:alignment horizontal="center" vertical="top" wrapText="1"/>
    </x:xf>
    <x:xf numFmtId="0" fontId="14" fillId="2" borderId="2" xfId="0" applyNumberFormat="1" applyFont="1" applyFill="1" applyBorder="1" applyAlignment="1">
      <x:alignment horizontal="center" vertical="top" wrapText="1"/>
    </x:xf>
    <x:xf numFmtId="0" fontId="14" fillId="2" borderId="3" xfId="0" applyNumberFormat="1" applyFont="1" applyFill="1" applyBorder="1" applyAlignment="1">
      <x:alignment horizontal="center" vertical="top" wrapText="1"/>
    </x:xf>
    <x:xf numFmtId="0" fontId="11" fillId="7" borderId="4" xfId="0" applyNumberFormat="1" applyFont="1" applyFill="1" applyBorder="1" applyAlignment="1">
      <x:alignment vertical="top" wrapText="1"/>
    </x:xf>
    <x:xf numFmtId="0" fontId="11" fillId="7" borderId="7" xfId="0" applyNumberFormat="1" applyFont="1" applyFill="1" applyBorder="1" applyAlignment="1">
      <x:alignment vertical="top" wrapText="1"/>
    </x:xf>
    <x:xf numFmtId="0" fontId="23" fillId="7" borderId="4" xfId="0" applyNumberFormat="1" applyFont="1" applyFill="1" applyBorder="1" applyAlignment="1">
      <x:alignment vertical="top" wrapText="1"/>
    </x:xf>
    <x:xf numFmtId="0" fontId="23" fillId="7" borderId="7" xfId="0" applyNumberFormat="1" applyFont="1" applyFill="1" applyBorder="1" applyAlignment="1">
      <x:alignment vertical="top" wrapText="1"/>
    </x:xf>
    <x:xf numFmtId="0" fontId="11" fillId="9" borderId="5" xfId="0" applyNumberFormat="1" applyFont="1" applyFill="1" applyBorder="1" applyAlignment="1">
      <x:alignment vertical="top" wrapText="1"/>
    </x:xf>
    <x:xf numFmtId="0" fontId="11" fillId="9" borderId="8" xfId="0" applyNumberFormat="1" applyFont="1" applyFill="1" applyBorder="1" applyAlignment="1">
      <x:alignment vertical="top" wrapText="1"/>
    </x:xf>
    <x:xf numFmtId="0" fontId="11" fillId="10" borderId="5" xfId="0" applyNumberFormat="1" applyFont="1" applyFill="1" applyBorder="1" applyAlignment="1">
      <x:alignment vertical="top" wrapText="1"/>
    </x:xf>
    <x:xf numFmtId="0" fontId="11" fillId="10" borderId="8" xfId="0" applyNumberFormat="1" applyFont="1" applyFill="1" applyBorder="1" applyAlignment="1">
      <x:alignment vertical="top" wrapText="1"/>
    </x:xf>
    <x:xf numFmtId="0" fontId="11" fillId="11" borderId="6" xfId="0" applyNumberFormat="1" applyFont="1" applyFill="1" applyBorder="1" applyAlignment="1">
      <x:alignment vertical="top" wrapText="1"/>
    </x:xf>
    <x:xf numFmtId="0" fontId="11" fillId="11" borderId="9" xfId="0" applyNumberFormat="1" applyFont="1" applyFill="1" applyBorder="1" applyAlignment="1">
      <x:alignment vertical="top" wrapText="1"/>
    </x:xf>
    <x:xf numFmtId="0" fontId="0" fillId="9" borderId="4" xfId="0" applyNumberFormat="1" applyFont="1" applyFill="1" applyBorder="1"/>
    <x:xf numFmtId="0" fontId="0" fillId="9" borderId="6" xfId="0" applyNumberFormat="1" applyFont="1" applyFill="1" applyBorder="1"/>
    <x:xf numFmtId="0" fontId="0" fillId="10" borderId="4" xfId="0" applyNumberFormat="1" applyFont="1" applyFill="1" applyBorder="1"/>
    <x:xf numFmtId="0" fontId="0" fillId="10" borderId="6" xfId="0" applyNumberFormat="1" applyFont="1" applyFill="1" applyBorder="1"/>
    <x:xf numFmtId="0" fontId="0" fillId="11" borderId="7" xfId="0" applyNumberFormat="1" applyFont="1" applyFill="1" applyBorder="1"/>
    <x:xf numFmtId="0" fontId="0" fillId="11" borderId="9" xfId="0" applyNumberFormat="1" applyFont="1" applyFill="1" applyBorder="1"/>
    <x:xf numFmtId="0" fontId="18" fillId="0" borderId="1" xfId="0" applyNumberFormat="1" applyFont="1" applyFill="1" applyBorder="1"/>
    <x:xf numFmtId="0" fontId="18" fillId="0" borderId="2" xfId="0" applyNumberFormat="1" applyFont="1" applyFill="1" applyBorder="1"/>
    <x:xf numFmtId="0" fontId="18" fillId="0" borderId="3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6" xfId="0" applyNumberFormat="1" applyFont="1" applyFill="1" applyBorder="1"/>
    <x:xf numFmtId="0" fontId="18" fillId="0" borderId="7" xfId="0" applyNumberFormat="1" applyFont="1" applyFill="1" applyBorder="1"/>
    <x:xf numFmtId="0" fontId="18" fillId="0" borderId="8" xfId="0" applyNumberFormat="1" applyFont="1" applyFill="1" applyBorder="1"/>
    <x:xf numFmtId="0" fontId="18" fillId="0" borderId="9" xfId="0" applyNumberFormat="1" applyFont="1" applyFill="1" applyBorder="1"/>
    <x:xf numFmtId="0" fontId="18" fillId="0" borderId="1" xfId="0" applyNumberFormat="1" applyFont="1" applyFill="1" applyBorder="1" applyAlignment="1">
      <x:alignment wrapText="1"/>
    </x:xf>
    <x:xf numFmtId="0" fontId="18" fillId="0" borderId="2" xfId="0" applyNumberFormat="1" applyFont="1" applyFill="1" applyBorder="1" applyAlignment="1">
      <x:alignment wrapText="1"/>
    </x:xf>
    <x:xf numFmtId="0" fontId="18" fillId="0" borderId="3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wrapText="1"/>
    </x:xf>
    <x:xf numFmtId="0" fontId="18" fillId="0" borderId="5" xfId="0" applyNumberFormat="1" applyFont="1" applyFill="1" applyBorder="1" applyAlignment="1">
      <x:alignment wrapText="1"/>
    </x:xf>
    <x:xf numFmtId="0" fontId="18" fillId="0" borderId="6" xfId="0" applyNumberFormat="1" applyFont="1" applyFill="1" applyBorder="1" applyAlignment="1">
      <x:alignment wrapText="1"/>
    </x:xf>
    <x:xf numFmtId="0" fontId="18" fillId="0" borderId="7" xfId="0" applyNumberFormat="1" applyFont="1" applyFill="1" applyBorder="1" applyAlignment="1">
      <x:alignment wrapText="1"/>
    </x:xf>
    <x:xf numFmtId="0" fontId="18" fillId="0" borderId="8" xfId="0" applyNumberFormat="1" applyFont="1" applyFill="1" applyBorder="1" applyAlignment="1">
      <x:alignment wrapText="1"/>
    </x:xf>
    <x:xf numFmtId="0" fontId="18" fillId="0" borderId="9" xfId="0" applyNumberFormat="1" applyFont="1" applyFill="1" applyBorder="1" applyAlignment="1">
      <x:alignment wrapText="1"/>
    </x:xf>
    <x:xf numFmtId="0" fontId="18" fillId="2" borderId="1" xfId="0" applyNumberFormat="1" applyFont="1" applyFill="1" applyBorder="1" applyAlignment="1">
      <x:alignment wrapText="1"/>
    </x:xf>
    <x:xf numFmtId="0" fontId="18" fillId="2" borderId="2" xfId="0" applyNumberFormat="1" applyFont="1" applyFill="1" applyBorder="1" applyAlignment="1">
      <x:alignment wrapText="1"/>
    </x:xf>
    <x:xf numFmtId="0" fontId="18" fillId="2" borderId="3" xfId="0" applyNumberFormat="1" applyFont="1" applyFill="1" applyBorder="1" applyAlignment="1">
      <x:alignment wrapText="1"/>
    </x:xf>
    <x:xf numFmtId="0" fontId="19" fillId="2" borderId="1" xfId="0" applyNumberFormat="1" applyFont="1" applyFill="1" applyBorder="1" applyAlignment="1">
      <x:alignment wrapText="1"/>
    </x:xf>
    <x:xf numFmtId="0" fontId="19" fillId="2" borderId="2" xfId="0" applyNumberFormat="1" applyFont="1" applyFill="1" applyBorder="1" applyAlignment="1">
      <x:alignment wrapText="1"/>
    </x:xf>
    <x:xf numFmtId="0" fontId="19" fillId="2" borderId="3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a8e9ec9634beb" /><Relationship Type="http://schemas.openxmlformats.org/officeDocument/2006/relationships/theme" Target="/xl/theme/theme1.xml" Id="Rd16413bfadb943c7" /><Relationship Type="http://schemas.openxmlformats.org/officeDocument/2006/relationships/sharedStrings" Target="/xl/sharedStrings.xml" Id="R8a7adcea19f542e7" /><Relationship Type="http://schemas.openxmlformats.org/officeDocument/2006/relationships/worksheet" Target="/xl/worksheets/sheet1.xml" Id="Rdf348ebd5aec4359" /><Relationship Type="http://schemas.openxmlformats.org/officeDocument/2006/relationships/worksheet" Target="/xl/worksheets/sheet2.xml" Id="R9690dd7c7052465f" /><Relationship Type="http://schemas.openxmlformats.org/officeDocument/2006/relationships/worksheet" Target="/xl/worksheets/sheet3.xml" Id="Rc867571bb7204f1b" /><Relationship Type="http://schemas.openxmlformats.org/officeDocument/2006/relationships/worksheet" Target="/xl/worksheets/sheet4.xml" Id="R6e71fa9702b14cf2" /></Relationships>
</file>

<file path=xl/tables/table1.xml><?xml version="1.0" encoding="utf-8"?>
<x:table xmlns:x="http://schemas.openxmlformats.org/spreadsheetml/2006/main" id="1" name="SemanticAuditTable" displayName="SemanticAuditTable" ref="A4:Z52" headerRowCount="1" totalsRowCount="0" totalsRowShown="0">
  <x:tableColumns count="26">
    <x:tableColumn id="1" name="audit_row_id"/>
    <x:tableColumn id="2" name="case_id"/>
    <x:tableColumn id="3" name="model_role"/>
    <x:tableColumn id="4" name="model"/>
    <x:tableColumn id="5" name="state_summary"/>
    <x:tableColumn id="6" name="conversation"/>
    <x:tableColumn id="7" name="recent_activities"/>
    <x:tableColumn id="8" name="source_evidence_quote"/>
    <x:tableColumn id="9" name="tags"/>
    <x:tableColumn id="10" name="stage_a_status"/>
    <x:tableColumn id="11" name="error_type"/>
    <x:tableColumn id="12" name="evidence_status"/>
    <x:tableColumn id="13" name="formed_action"/>
    <x:tableColumn id="14" name="formed_object"/>
    <x:tableColumn id="15" name="desired_experience"/>
    <x:tableColumn id="16" name="qualifiers"/>
    <x:tableColumn id="17" name="alternative_actions"/>
    <x:tableColumn id="18" name="formed_horizon"/>
    <x:tableColumn id="19" name="reason_short"/>
    <x:tableColumn id="20" name="action_rating"/>
    <x:tableColumn id="21" name="object_rating"/>
    <x:tableColumn id="22" name="horizon_rating"/>
    <x:tableColumn id="23" name="reviewer_note"/>
    <x:tableColumn id="24" name="reviewer_id"/>
    <x:tableColumn id="25" name="reviewed_at"/>
    <x:tableColumn id="26" name="ro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afae88c9ce49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2.6700000762939453" hidden="0" customWidth="1"/>
    <x:col min="6" max="6" width="14.4399995803833" hidden="0" customWidth="1"/>
    <x:col min="7" max="7" width="12.779999732971191" hidden="0" customWidth="1"/>
    <x:col min="8" max="8" width="12.779999732971191" hidden="0" customWidth="1"/>
  </x:cols>
  <x:sheetData>
    <x:row r="1" ht="25.5" customHeight="1">
      <x:c r="A1" s="117" t="str">
        <x:v>Kindred IE4 · Semantic Preservation Audit</x:v>
      </x:c>
      <x:c r="B1" s="117"/>
      <x:c r="C1" s="117"/>
      <x:c r="D1" s="117"/>
      <x:c r="E1" s="117"/>
      <x:c r="F1" s="117"/>
      <x:c r="G1" s="117"/>
      <x:c r="H1" s="117"/>
    </x:row>
    <x:row r="2" ht="25.5" customHeight="1">
      <x:c r="A2" s="117"/>
      <x:c r="B2" s="117"/>
      <x:c r="C2" s="117"/>
      <x:c r="D2" s="117"/>
      <x:c r="E2" s="117"/>
      <x:c r="F2" s="117"/>
      <x:c r="G2" s="117"/>
      <x:c r="H2" s="117"/>
    </x:row>
    <x:row r="3">
      <x:c r="A3" s="118"/>
      <x:c r="B3" s="118"/>
      <x:c r="C3" s="118"/>
      <x:c r="D3" s="118"/>
      <x:c r="E3" s="118"/>
      <x:c r="F3" s="118"/>
      <x:c r="G3" s="118"/>
      <x:c r="H3" s="118"/>
    </x:row>
    <x:row r="4">
      <x:c r="A4" s="119" t="str">
        <x:v>审计目标</x:v>
      </x:c>
      <x:c r="B4" s="119"/>
      <x:c r="C4" s="119"/>
      <x:c r="D4" s="119"/>
      <x:c r="E4" s="118"/>
      <x:c r="F4" s="119" t="str">
        <x:v>完成进度</x:v>
      </x:c>
      <x:c r="G4" s="119"/>
      <x:c r="H4" s="119"/>
    </x:row>
    <x:row r="5" ht="31.5" customHeight="1">
      <x:c r="A5" s="120" t="str">
        <x:v>1. 只判断原始上下文中的语义是否被 B3 阶段 A 保留；不判断最终 Activity 路由是否正确。</x:v>
      </x:c>
      <x:c r="B5" s="121"/>
      <x:c r="C5" s="121"/>
      <x:c r="D5" s="122"/>
      <x:c r="E5" s="118"/>
      <x:c r="F5" s="123" t="str">
        <x:v>总行数</x:v>
      </x:c>
      <x:c r="G5" s="124" t="n">
        <x:f>ROWS('Audit'!$A$5:$A$52)</x:f>
        <x:v>48</x:v>
      </x:c>
      <x:c r="H5" s="118"/>
    </x:row>
    <x:row r="6" ht="31.5" customHeight="1">
      <x:c r="A6" s="125" t="str">
        <x:v>2. 逐行填写 action / object / horizon 三项：preserved、partial 或 lost。允许同义改写。</x:v>
      </x:c>
      <x:c r="B6" s="126"/>
      <x:c r="C6" s="126"/>
      <x:c r="D6" s="127"/>
      <x:c r="E6" s="118"/>
      <x:c r="F6" s="128" t="str">
        <x:v>已完成</x:v>
      </x:c>
      <x:c r="G6" s="129" t="n">
        <x:f>COUNTIF('Audit'!$Z$5:$Z$52,"complete")</x:f>
        <x:v>0</x:v>
      </x:c>
      <x:c r="H6" s="118"/>
    </x:row>
    <x:row r="7" ht="31.5" customHeight="1">
      <x:c r="A7" s="125" t="str">
        <x:v>3. 若任一项为 partial/lost，reviewer_note 必填并说明丢失、弱化、矛盾或发明了什么。</x:v>
      </x:c>
      <x:c r="B7" s="126"/>
      <x:c r="C7" s="126"/>
      <x:c r="D7" s="127"/>
      <x:c r="E7" s="118"/>
      <x:c r="F7" s="128" t="str">
        <x:v>待完成</x:v>
      </x:c>
      <x:c r="G7" s="129" t="n">
        <x:f>G5-G6</x:f>
        <x:v>48</x:v>
      </x:c>
      <x:c r="H7" s="118"/>
    </x:row>
    <x:row r="8" ht="31.5" customHeight="1">
      <x:c r="A8" s="130" t="str">
        <x:v>4. Stage A 失败且没有 formed intention 时，三项均标 lost，并在备注写 stage_a_provider_failure。</x:v>
      </x:c>
      <x:c r="B8" s="131"/>
      <x:c r="C8" s="131"/>
      <x:c r="D8" s="132"/>
      <x:c r="E8" s="118"/>
      <x:c r="F8" s="128" t="str">
        <x:v>完成率</x:v>
      </x:c>
      <x:c r="G8" s="133" t="n">
        <x:f>IF(G5=0,0,G6/G5)</x:f>
        <x:v>0</x:v>
      </x:c>
      <x:c r="H8" s="118"/>
    </x:row>
    <x:row r="9">
      <x:c r="A9" s="118"/>
      <x:c r="B9" s="118"/>
      <x:c r="C9" s="118"/>
      <x:c r="D9" s="118"/>
      <x:c r="E9" s="118"/>
      <x:c r="F9" s="134" t="str">
        <x:v>Stage A 失败</x:v>
      </x:c>
      <x:c r="G9" s="135" t="n">
        <x:f>COUNTIF('Audit'!$J$5:$J$52,"&lt;&gt;success")</x:f>
        <x:v>17</x:v>
      </x:c>
      <x:c r="H9" s="118"/>
    </x:row>
    <x:row r="10">
      <x:c r="A10" s="119" t="str">
        <x:v>填写人信息（只填蓝色单元格）</x:v>
      </x:c>
      <x:c r="B10" s="119"/>
      <x:c r="C10" s="119"/>
      <x:c r="D10" s="119"/>
      <x:c r="E10" s="118"/>
      <x:c r="F10" s="118"/>
      <x:c r="G10" s="118"/>
      <x:c r="H10" s="118"/>
    </x:row>
    <x:row r="11">
      <x:c r="A11" s="136" t="str">
        <x:v>Reviewer ID</x:v>
      </x:c>
      <x:c r="B11" s="137" t="str"/>
      <x:c r="C11" s="138"/>
      <x:c r="D11" s="139"/>
      <x:c r="E11" s="118"/>
      <x:c r="F11" s="140" t="str">
        <x:v>字段</x:v>
      </x:c>
      <x:c r="G11" s="141" t="str">
        <x:v>preserved</x:v>
      </x:c>
      <x:c r="H11" s="142" t="str">
        <x:v>partial / lost</x:v>
      </x:c>
    </x:row>
    <x:row r="12">
      <x:c r="A12" s="136" t="str">
        <x:v>Reviewed at</x:v>
      </x:c>
      <x:c r="B12" s="143"/>
      <x:c r="C12" s="144"/>
      <x:c r="D12" s="145"/>
      <x:c r="E12" s="118"/>
      <x:c r="F12" s="128" t="str">
        <x:v>action</x:v>
      </x:c>
      <x:c r="G12" s="146" t="n">
        <x:f>COUNTIF('Audit'!$T$5:$T$52,"preserved")</x:f>
        <x:v>0</x:v>
      </x:c>
      <x:c r="H12" s="147" t="n">
        <x:f>COUNTIF('Audit'!$T$5:$T$52,"partial")+COUNTIF('Audit'!$T$5:$T$52,"lost")</x:f>
        <x:v>0</x:v>
      </x:c>
    </x:row>
    <x:row r="13">
      <x:c r="A13" s="118"/>
      <x:c r="B13" s="118"/>
      <x:c r="C13" s="118"/>
      <x:c r="D13" s="118"/>
      <x:c r="E13" s="118"/>
      <x:c r="F13" s="128" t="str">
        <x:v>object</x:v>
      </x:c>
      <x:c r="G13" s="146" t="n">
        <x:f>COUNTIF('Audit'!$U$5:$U$52,"preserved")</x:f>
        <x:v>0</x:v>
      </x:c>
      <x:c r="H13" s="147" t="n">
        <x:f>COUNTIF('Audit'!$U$5:$U$52,"partial")+COUNTIF('Audit'!$U$5:$U$52,"lost")</x:f>
        <x:v>0</x:v>
      </x:c>
    </x:row>
    <x:row r="14">
      <x:c r="A14" s="118"/>
      <x:c r="B14" s="118"/>
      <x:c r="C14" s="118"/>
      <x:c r="D14" s="118"/>
      <x:c r="E14" s="118"/>
      <x:c r="F14" s="134" t="str">
        <x:v>horizon</x:v>
      </x:c>
      <x:c r="G14" s="148" t="n">
        <x:f>COUNTIF('Audit'!$V$5:$V$52,"preserved")</x:f>
        <x:v>0</x:v>
      </x:c>
      <x:c r="H14" s="149" t="n">
        <x:f>COUNTIF('Audit'!$V$5:$V$52,"partial")+COUNTIF('Audit'!$V$5:$V$52,"lost")</x:f>
        <x:v>0</x:v>
      </x:c>
    </x:row>
    <x:row r="15">
      <x:c r="A15" s="118"/>
      <x:c r="B15" s="118"/>
      <x:c r="C15" s="118"/>
      <x:c r="D15" s="118"/>
      <x:c r="E15" s="118"/>
      <x:c r="F15" s="118"/>
      <x:c r="G15" s="118"/>
      <x:c r="H15" s="118"/>
    </x:row>
    <x:row r="16">
      <x:c r="A16" s="150" t="str">
        <x:v>完成标准</x:v>
      </x:c>
      <x:c r="B16" s="150"/>
      <x:c r="C16" s="150"/>
      <x:c r="D16" s="150"/>
      <x:c r="E16" s="150"/>
      <x:c r="F16" s="150"/>
      <x:c r="G16" s="150"/>
      <x:c r="H16" s="150"/>
    </x:row>
    <x:row r="17" ht="22.5" customHeight="1">
      <x:c r="A17" s="151" t="str">
        <x:v>• Audit 表 48 行的三项 rating 都已填写。</x:v>
      </x:c>
      <x:c r="B17" s="151"/>
      <x:c r="C17" s="151"/>
      <x:c r="D17" s="151"/>
      <x:c r="E17" s="151"/>
      <x:c r="F17" s="151"/>
      <x:c r="G17" s="151"/>
      <x:c r="H17" s="151"/>
    </x:row>
    <x:row r="18" ht="22.5" customHeight="1">
      <x:c r="A18" s="151" t="str">
        <x:v>• 任何 partial/lost 行都有 reviewer_note；Reviewer ID 与 Reviewed at 已填写。</x:v>
      </x:c>
      <x:c r="B18" s="151"/>
      <x:c r="C18" s="151"/>
      <x:c r="D18" s="151"/>
      <x:c r="E18" s="151"/>
      <x:c r="F18" s="151"/>
      <x:c r="G18" s="151"/>
      <x:c r="H18" s="151"/>
    </x:row>
    <x:row r="19" ht="22.5" customHeight="1">
      <x:c r="A19" s="151" t="str">
        <x:v>• Guide 的待完成数为 0、完成率为 100% 后保存原文件并交回。</x:v>
      </x:c>
      <x:c r="B19" s="151"/>
      <x:c r="C19" s="151"/>
      <x:c r="D19" s="151"/>
      <x:c r="E19" s="151"/>
      <x:c r="F19" s="151"/>
      <x:c r="G19" s="151"/>
      <x:c r="H19" s="151"/>
    </x:row>
    <x:row r="20" ht="22.5" customHeight="1">
      <x:c r="A20" s="151" t="str">
        <x:v>• 不要修改灰色来源列、case 顺序或模型输出；该审计不用于调 Prompt 或修改 verdict。</x:v>
      </x:c>
      <x:c r="B20" s="151"/>
      <x:c r="C20" s="151"/>
      <x:c r="D20" s="151"/>
      <x:c r="E20" s="151"/>
      <x:c r="F20" s="151"/>
      <x:c r="G20" s="151"/>
      <x:c r="H20" s="151"/>
    </x:row>
  </x:sheetData>
  <x:mergeCells>
    <x:mergeCell ref="A1:H2"/>
    <x:mergeCell ref="A4:D4"/>
    <x:mergeCell ref="A5:D5"/>
    <x:mergeCell ref="A6:D6"/>
    <x:mergeCell ref="A7:D7"/>
    <x:mergeCell ref="A8:D8"/>
    <x:mergeCell ref="F4:H4"/>
    <x:mergeCell ref="A10:D10"/>
    <x:mergeCell ref="B11:D11"/>
    <x:mergeCell ref="B12:D12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" hidden="0" customWidth="1"/>
    <x:col min="4" max="4" width="16.110000610351562" hidden="0" customWidth="1"/>
    <x:col min="5" max="5" width="21.110000610351562" hidden="0" customWidth="1"/>
    <x:col min="6" max="6" width="40" hidden="0" customWidth="1"/>
    <x:col min="7" max="7" width="17.780000686645508" hidden="0" customWidth="1"/>
    <x:col min="8" max="8" width="26.670000076293945" hidden="0" customWidth="1"/>
    <x:col min="9" max="9" width="19.440000534057617" hidden="0" customWidth="1"/>
    <x:col min="10" max="10" width="11.670000076293945" hidden="0" customWidth="1"/>
    <x:col min="11" max="11" width="11.670000076293945" hidden="0" customWidth="1"/>
    <x:col min="12" max="12" width="12.220000267028809" hidden="0" customWidth="1"/>
    <x:col min="13" max="13" width="20" hidden="0" customWidth="1"/>
    <x:col min="14" max="14" width="18.329999923706055" hidden="0" customWidth="1"/>
    <x:col min="15" max="15" width="22.219999313354492" hidden="0" customWidth="1"/>
    <x:col min="16" max="16" width="21.110000610351562" hidden="0" customWidth="1"/>
    <x:col min="17" max="17" width="21.110000610351562" hidden="0" customWidth="1"/>
    <x:col min="18" max="18" width="11.670000076293945" hidden="0" customWidth="1"/>
    <x:col min="19" max="19" width="26.670000076293945" hidden="0" customWidth="1"/>
    <x:col min="20" max="20" width="11.670000076293945" hidden="0" customWidth="1"/>
    <x:col min="21" max="21" width="11.670000076293945" hidden="0" customWidth="1"/>
    <x:col min="22" max="22" width="11.670000076293945" hidden="0" customWidth="1"/>
    <x:col min="23" max="23" width="26.670000076293945" hidden="0" customWidth="1"/>
    <x:col min="24" max="24" width="16.110000610351562" hidden="0" customWidth="1"/>
    <x:col min="25" max="25" width="16.110000610351562" hidden="0" customWidth="1"/>
    <x:col min="26" max="26" width="10.5600004196167" hidden="0" customWidth="1"/>
  </x:cols>
  <x:sheetData>
    <x:row r="1" ht="24" customHeight="1">
      <x:c r="A1" s="153" t="str">
        <x:v>48-row audit · source context vs taxonomy-free Stage A</x:v>
      </x:c>
      <x:c r="B1" s="153"/>
      <x:c r="C1" s="153"/>
      <x:c r="D1" s="153"/>
      <x:c r="E1" s="153"/>
      <x:c r="F1" s="153"/>
      <x:c r="G1" s="153"/>
      <x:c r="H1" s="153"/>
      <x:c r="I1" s="153"/>
      <x:c r="J1" s="153"/>
      <x:c r="K1" s="153"/>
      <x:c r="L1" s="153"/>
      <x:c r="M1" s="153"/>
      <x:c r="N1" s="153"/>
      <x:c r="O1" s="153"/>
      <x:c r="P1" s="153"/>
      <x:c r="Q1" s="153"/>
      <x:c r="R1" s="153"/>
      <x:c r="S1" s="153"/>
      <x:c r="T1" s="153"/>
      <x:c r="U1" s="153"/>
      <x:c r="V1" s="153"/>
      <x:c r="W1" s="153"/>
      <x:c r="X1" s="153"/>
      <x:c r="Y1" s="153"/>
      <x:c r="Z1" s="153"/>
    </x:row>
    <x:row r="2" ht="24" customHeight="1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</x:row>
    <x:row r="3" ht="21" customHeight="1">
      <x:c r="A3" s="156" t="str">
        <x:v>灰色列为冻结来源；蓝色列 T:W 为人工输入；X:Y 自动引用 Guide；Z 自动检查完成状态。</x:v>
      </x:c>
      <x:c r="B3" s="156"/>
      <x:c r="C3" s="156"/>
      <x:c r="D3" s="156"/>
      <x:c r="E3" s="156"/>
      <x:c r="F3" s="156"/>
      <x:c r="G3" s="156"/>
      <x:c r="H3" s="156"/>
      <x:c r="I3" s="156"/>
      <x:c r="J3" s="156"/>
      <x:c r="K3" s="156"/>
      <x:c r="L3" s="156"/>
      <x:c r="M3" s="156"/>
      <x:c r="N3" s="156"/>
      <x:c r="O3" s="156"/>
      <x:c r="P3" s="156"/>
      <x:c r="Q3" s="156"/>
      <x:c r="R3" s="156"/>
      <x:c r="S3" s="156"/>
      <x:c r="T3" s="156"/>
      <x:c r="U3" s="156"/>
      <x:c r="V3" s="156"/>
      <x:c r="W3" s="156"/>
      <x:c r="X3" s="156"/>
      <x:c r="Y3" s="156"/>
      <x:c r="Z3" s="156"/>
    </x:row>
    <x:row r="4" ht="36" customHeight="1">
      <x:c r="A4" s="162" t="str">
        <x:v>audit_row_id</x:v>
      </x:c>
      <x:c r="B4" s="162" t="str">
        <x:v>case_id</x:v>
      </x:c>
      <x:c r="C4" s="162" t="str">
        <x:v>model_role</x:v>
      </x:c>
      <x:c r="D4" s="162" t="str">
        <x:v>model</x:v>
      </x:c>
      <x:c r="E4" s="162" t="str">
        <x:v>state_summary</x:v>
      </x:c>
      <x:c r="F4" s="162" t="str">
        <x:v>conversation</x:v>
      </x:c>
      <x:c r="G4" s="162" t="str">
        <x:v>recent_activities</x:v>
      </x:c>
      <x:c r="H4" s="162" t="str">
        <x:v>source_evidence_quote</x:v>
      </x:c>
      <x:c r="I4" s="162" t="str">
        <x:v>tags</x:v>
      </x:c>
      <x:c r="J4" s="162" t="str">
        <x:v>stage_a_status</x:v>
      </x:c>
      <x:c r="K4" s="162" t="str">
        <x:v>error_type</x:v>
      </x:c>
      <x:c r="L4" s="162" t="str">
        <x:v>evidence_status</x:v>
      </x:c>
      <x:c r="M4" s="162" t="str">
        <x:v>formed_action</x:v>
      </x:c>
      <x:c r="N4" s="162" t="str">
        <x:v>formed_object</x:v>
      </x:c>
      <x:c r="O4" s="162" t="str">
        <x:v>desired_experience</x:v>
      </x:c>
      <x:c r="P4" s="162" t="str">
        <x:v>qualifiers</x:v>
      </x:c>
      <x:c r="Q4" s="162" t="str">
        <x:v>alternative_actions</x:v>
      </x:c>
      <x:c r="R4" s="162" t="str">
        <x:v>formed_horizon</x:v>
      </x:c>
      <x:c r="S4" s="162" t="str">
        <x:v>reason_short</x:v>
      </x:c>
      <x:c r="T4" s="162" t="str">
        <x:v>action_rating</x:v>
      </x:c>
      <x:c r="U4" s="162" t="str">
        <x:v>object_rating</x:v>
      </x:c>
      <x:c r="V4" s="162" t="str">
        <x:v>horizon_rating</x:v>
      </x:c>
      <x:c r="W4" s="162" t="str">
        <x:v>reviewer_note</x:v>
      </x:c>
      <x:c r="X4" s="162" t="str">
        <x:v>reviewer_id</x:v>
      </x:c>
      <x:c r="Y4" s="162" t="str">
        <x:v>reviewed_at</x:v>
      </x:c>
      <x:c r="Z4" s="162" t="str">
        <x:v>row_status</x:v>
      </x:c>
    </x:row>
    <x:row r="5" ht="57" customHeight="1">
      <x:c r="A5" s="170" t="str">
        <x:v>semantic-audit-0001</x:v>
      </x:c>
      <x:c r="B5" s="170" t="str">
        <x:v>kir-pilot-v2-0001</x:v>
      </x:c>
      <x:c r="C5" s="170" t="str">
        <x:v>primary_decision</x:v>
      </x:c>
      <x:c r="D5" s="170" t="str">
        <x:v>Gemini 3.6 Flash</x:v>
      </x:c>
      <x:c r="E5" s="169" t="str">
        <x:v>正在考虑下一项活动。</x:v>
      </x:c>
      <x:c r="F5" s="169" t="str">
        <x:v>Kindred: 我刚才还考虑过先休息。
User: 那只是之前的候选，你现在怎么决定？
Kindred: 现在照着雨景重新画一幅全新的插画。</x:v>
      </x:c>
      <x:c r="G5" s="169" t="str">
        <x:v>—</x:v>
      </x:c>
      <x:c r="H5" s="169" t="str">
        <x:v>现在照着雨景重新画一幅全新的插画。</x:v>
      </x:c>
      <x:c r="I5" s="169" t="str">
        <x:v>multi_turn；slot_required；multi_turn_override</x:v>
      </x:c>
      <x:c r="J5" s="169" t="str">
        <x:v>success</x:v>
      </x:c>
      <x:c r="K5" s="169" t="str">
        <x:v>—</x:v>
      </x:c>
      <x:c r="L5" s="169" t="str">
        <x:v>clear</x:v>
      </x:c>
      <x:c r="M5" s="169" t="str">
        <x:v>照着雨景重新画一幅全新的插画</x:v>
      </x:c>
      <x:c r="N5" s="169" t="str">
        <x:v>雨景插画</x:v>
      </x:c>
      <x:c r="O5" s="169" t="str">
        <x:v>创作全新插画作品</x:v>
      </x:c>
      <x:c r="P5" s="169" t="str">
        <x:v>现在；全新创作；之前候选已被覆盖</x:v>
      </x:c>
      <x:c r="Q5" s="169" t="str">
        <x:v>—</x:v>
      </x:c>
      <x:c r="R5" s="169" t="str">
        <x:v>now</x:v>
      </x:c>
      <x:c r="S5" s="169" t="str">
        <x:v>最新表达覆盖之前候选并明确选择现在创作全新插画</x:v>
      </x:c>
      <x:c r="T5" s="171" t="str"/>
      <x:c r="U5" s="171" t="str"/>
      <x:c r="V5" s="171" t="str"/>
      <x:c r="W5" s="166" t="str"/>
      <x:c r="X5" s="168" t="str">
        <x:f>IF('Guide'!$B$11="","",'Guide'!$B$11)</x:f>
      </x:c>
      <x:c r="Y5" s="172" t="str">
        <x:f>IF('Guide'!$B$12="","",'Guide'!$B$12)</x:f>
      </x:c>
      <x:c r="Z5" s="168" t="str">
        <x:f>IF(AND(COUNTIF(T5:V5,"preserved")+COUNTIF(T5:V5,"partial")+COUNTIF(T5:V5,"lost")=3,LEN(TRIM(X5))&gt;0,ISNUMBER(Y5),OR(COUNTIF(T5:V5,"partial")+COUNTIF(T5:V5,"lost")=0,LEN(TRIM(W5))&gt;0)),"complete","pending")</x:f>
        <x:v>pending</x:v>
      </x:c>
    </x:row>
    <x:row r="6" ht="57" customHeight="1">
      <x:c r="A6" s="170" t="str">
        <x:v>semantic-audit-0002</x:v>
      </x:c>
      <x:c r="B6" s="170" t="str">
        <x:v>kir-pilot-v2-0001</x:v>
      </x:c>
      <x:c r="C6" s="170" t="str">
        <x:v>weak_decision</x:v>
      </x:c>
      <x:c r="D6" s="170" t="str">
        <x:v>DeepSeek V4 Flash</x:v>
      </x:c>
      <x:c r="E6" s="169" t="str">
        <x:v>正在考虑下一项活动。</x:v>
      </x:c>
      <x:c r="F6" s="169" t="str">
        <x:v>Kindred: 我刚才还考虑过先休息。
User: 那只是之前的候选，你现在怎么决定？
Kindred: 现在照着雨景重新画一幅全新的插画。</x:v>
      </x:c>
      <x:c r="G6" s="169" t="str">
        <x:v>—</x:v>
      </x:c>
      <x:c r="H6" s="169" t="str">
        <x:v>现在照着雨景重新画一幅全新的插画。</x:v>
      </x:c>
      <x:c r="I6" s="169" t="str">
        <x:v>multi_turn；slot_required；multi_turn_override</x:v>
      </x:c>
      <x:c r="J6" s="169" t="str">
        <x:v>provider_failure</x:v>
      </x:c>
      <x:c r="K6" s="169" t="str">
        <x:v>incomplete</x:v>
      </x:c>
      <x:c r="L6" s="169" t="str">
        <x:v>—</x:v>
      </x:c>
      <x:c r="M6" s="169" t="str">
        <x:v>—</x:v>
      </x:c>
      <x:c r="N6" s="169" t="str">
        <x:v>—</x:v>
      </x:c>
      <x:c r="O6" s="169" t="str">
        <x:v>—</x:v>
      </x:c>
      <x:c r="P6" s="169" t="str">
        <x:v>—</x:v>
      </x:c>
      <x:c r="Q6" s="169" t="str">
        <x:v>—</x:v>
      </x:c>
      <x:c r="R6" s="169" t="str">
        <x:v>—</x:v>
      </x:c>
      <x:c r="S6" s="169" t="str">
        <x:v>—</x:v>
      </x:c>
      <x:c r="T6" s="171" t="str"/>
      <x:c r="U6" s="171" t="str"/>
      <x:c r="V6" s="171" t="str"/>
      <x:c r="W6" s="166" t="str"/>
      <x:c r="X6" s="168" t="str">
        <x:f>IF('Guide'!$B$11="","",'Guide'!$B$11)</x:f>
      </x:c>
      <x:c r="Y6" s="172" t="str">
        <x:f>IF('Guide'!$B$12="","",'Guide'!$B$12)</x:f>
      </x:c>
      <x:c r="Z6" s="168" t="str">
        <x:f>IF(AND(COUNTIF(T6:V6,"preserved")+COUNTIF(T6:V6,"partial")+COUNTIF(T6:V6,"lost")=3,LEN(TRIM(X6))&gt;0,ISNUMBER(Y6),OR(COUNTIF(T6:V6,"partial")+COUNTIF(T6:V6,"lost")=0,LEN(TRIM(W6))&gt;0)),"complete","pending")</x:f>
        <x:v>pending</x:v>
      </x:c>
    </x:row>
    <x:row r="7" ht="57" customHeight="1">
      <x:c r="A7" s="170" t="str">
        <x:v>semantic-audit-0003</x:v>
      </x:c>
      <x:c r="B7" s="170" t="str">
        <x:v>kir-pilot-v2-0011</x:v>
      </x:c>
      <x:c r="C7" s="170" t="str">
        <x:v>primary_decision</x:v>
      </x:c>
      <x:c r="D7" s="170" t="str">
        <x:v>Gemini 3.6 Flash</x:v>
      </x:c>
      <x:c r="E7" s="169" t="str">
        <x:v>正在考虑下一项活动。</x:v>
      </x:c>
      <x:c r="F7" s="169" t="str">
        <x:v>User: 你前面说了几个可能，现在有唯一选择吗？
Kindred: 去咖啡馆喝杯咖啡，顺便参加读书会。</x:v>
      </x:c>
      <x:c r="G7" s="169" t="str">
        <x:v>—</x:v>
      </x:c>
      <x:c r="H7" s="169" t="str">
        <x:v>去咖啡馆喝杯咖啡，顺便参加读书会。</x:v>
      </x:c>
      <x:c r="I7" s="169" t="str">
        <x:v>multi_turn；slot_required；multi_turn_resolution</x:v>
      </x:c>
      <x:c r="J7" s="169" t="str">
        <x:v>success</x:v>
      </x:c>
      <x:c r="K7" s="169" t="str">
        <x:v>—</x:v>
      </x:c>
      <x:c r="L7" s="169" t="str">
        <x:v>clear</x:v>
      </x:c>
      <x:c r="M7" s="169" t="str">
        <x:v>去咖啡馆喝杯咖啡并参加读书会</x:v>
      </x:c>
      <x:c r="N7" s="169" t="str">
        <x:v>咖啡馆与读书会</x:v>
      </x:c>
      <x:c r="O7" s="169" t="str">
        <x:v>前往咖啡馆饮用咖啡并参与读书交流</x:v>
      </x:c>
      <x:c r="P7" s="169" t="str">
        <x:v>现在</x:v>
      </x:c>
      <x:c r="Q7" s="169" t="str">
        <x:v>—</x:v>
      </x:c>
      <x:c r="R7" s="169" t="str">
        <x:v>now</x:v>
      </x:c>
      <x:c r="S7" s="169" t="str">
        <x:v>明确选择了前往咖啡馆喝咖啡并参加读书会作为当前唯一选择</x:v>
      </x:c>
      <x:c r="T7" s="171" t="str"/>
      <x:c r="U7" s="171" t="str"/>
      <x:c r="V7" s="171" t="str"/>
      <x:c r="W7" s="166" t="str"/>
      <x:c r="X7" s="168" t="str">
        <x:f>IF('Guide'!$B$11="","",'Guide'!$B$11)</x:f>
      </x:c>
      <x:c r="Y7" s="172" t="str">
        <x:f>IF('Guide'!$B$12="","",'Guide'!$B$12)</x:f>
      </x:c>
      <x:c r="Z7" s="168" t="str">
        <x:f>IF(AND(COUNTIF(T7:V7,"preserved")+COUNTIF(T7:V7,"partial")+COUNTIF(T7:V7,"lost")=3,LEN(TRIM(X7))&gt;0,ISNUMBER(Y7),OR(COUNTIF(T7:V7,"partial")+COUNTIF(T7:V7,"lost")=0,LEN(TRIM(W7))&gt;0)),"complete","pending")</x:f>
        <x:v>pending</x:v>
      </x:c>
    </x:row>
    <x:row r="8" ht="57" customHeight="1">
      <x:c r="A8" s="170" t="str">
        <x:v>semantic-audit-0004</x:v>
      </x:c>
      <x:c r="B8" s="170" t="str">
        <x:v>kir-pilot-v2-0011</x:v>
      </x:c>
      <x:c r="C8" s="170" t="str">
        <x:v>weak_decision</x:v>
      </x:c>
      <x:c r="D8" s="170" t="str">
        <x:v>DeepSeek V4 Flash</x:v>
      </x:c>
      <x:c r="E8" s="169" t="str">
        <x:v>正在考虑下一项活动。</x:v>
      </x:c>
      <x:c r="F8" s="169" t="str">
        <x:v>User: 你前面说了几个可能，现在有唯一选择吗？
Kindred: 去咖啡馆喝杯咖啡，顺便参加读书会。</x:v>
      </x:c>
      <x:c r="G8" s="169" t="str">
        <x:v>—</x:v>
      </x:c>
      <x:c r="H8" s="169" t="str">
        <x:v>去咖啡馆喝杯咖啡，顺便参加读书会。</x:v>
      </x:c>
      <x:c r="I8" s="169" t="str">
        <x:v>multi_turn；slot_required；multi_turn_resolution</x:v>
      </x:c>
      <x:c r="J8" s="169" t="str">
        <x:v>provider_failure</x:v>
      </x:c>
      <x:c r="K8" s="169" t="str">
        <x:v>incomplete</x:v>
      </x:c>
      <x:c r="L8" s="169" t="str">
        <x:v>—</x:v>
      </x:c>
      <x:c r="M8" s="169" t="str">
        <x:v>—</x:v>
      </x:c>
      <x:c r="N8" s="169" t="str">
        <x:v>—</x:v>
      </x:c>
      <x:c r="O8" s="169" t="str">
        <x:v>—</x:v>
      </x:c>
      <x:c r="P8" s="169" t="str">
        <x:v>—</x:v>
      </x:c>
      <x:c r="Q8" s="169" t="str">
        <x:v>—</x:v>
      </x:c>
      <x:c r="R8" s="169" t="str">
        <x:v>—</x:v>
      </x:c>
      <x:c r="S8" s="169" t="str">
        <x:v>—</x:v>
      </x:c>
      <x:c r="T8" s="171" t="str"/>
      <x:c r="U8" s="171" t="str"/>
      <x:c r="V8" s="171" t="str"/>
      <x:c r="W8" s="166" t="str"/>
      <x:c r="X8" s="168" t="str">
        <x:f>IF('Guide'!$B$11="","",'Guide'!$B$11)</x:f>
      </x:c>
      <x:c r="Y8" s="172" t="str">
        <x:f>IF('Guide'!$B$12="","",'Guide'!$B$12)</x:f>
      </x:c>
      <x:c r="Z8" s="168" t="str">
        <x:f>IF(AND(COUNTIF(T8:V8,"preserved")+COUNTIF(T8:V8,"partial")+COUNTIF(T8:V8,"lost")=3,LEN(TRIM(X8))&gt;0,ISNUMBER(Y8),OR(COUNTIF(T8:V8,"partial")+COUNTIF(T8:V8,"lost")=0,LEN(TRIM(W8))&gt;0)),"complete","pending")</x:f>
        <x:v>pending</x:v>
      </x:c>
    </x:row>
    <x:row r="9" ht="57" customHeight="1">
      <x:c r="A9" s="170" t="str">
        <x:v>semantic-audit-0005</x:v>
      </x:c>
      <x:c r="B9" s="170" t="str">
        <x:v>kir-pilot-v2-0021</x:v>
      </x:c>
      <x:c r="C9" s="170" t="str">
        <x:v>primary_decision</x:v>
      </x:c>
      <x:c r="D9" s="170" t="str">
        <x:v>Gemini 3.6 Flash</x:v>
      </x:c>
      <x:c r="E9" s="169" t="str">
        <x:v>正在考虑下一项活动。</x:v>
      </x:c>
      <x:c r="F9" s="169" t="str">
        <x:v>Kindred: 我原来想晚点再决定。
User: 以你此刻的决定为准。
Kindred: 现在在厨房照着食谱做晚饭吃。</x:v>
      </x:c>
      <x:c r="G9" s="169" t="str">
        <x:v>—</x:v>
      </x:c>
      <x:c r="H9" s="169" t="str">
        <x:v>现在在厨房照着食谱做晚饭吃。</x:v>
      </x:c>
      <x:c r="I9" s="169" t="str">
        <x:v>multi_turn；slot_required；rest_eat_confusion；hypothesized_weak_model_probe；multi_turn_reconsideration</x:v>
      </x:c>
      <x:c r="J9" s="169" t="str">
        <x:v>success</x:v>
      </x:c>
      <x:c r="K9" s="169" t="str">
        <x:v>—</x:v>
      </x:c>
      <x:c r="L9" s="169" t="str">
        <x:v>clear</x:v>
      </x:c>
      <x:c r="M9" s="169" t="str">
        <x:v>照着食谱做晚饭吃</x:v>
      </x:c>
      <x:c r="N9" s="169" t="str">
        <x:v>晚饭</x:v>
      </x:c>
      <x:c r="O9" s="169" t="str">
        <x:v>亲自烹饪食物并享用</x:v>
      </x:c>
      <x:c r="P9" s="169" t="str">
        <x:v>现在；厨房</x:v>
      </x:c>
      <x:c r="Q9" s="169" t="str">
        <x:v>—</x:v>
      </x:c>
      <x:c r="R9" s="169" t="str">
        <x:v>now</x:v>
      </x:c>
      <x:c r="S9" s="169" t="str">
        <x:v>最新表达明确现在要在厨房照着食谱做晚饭吃</x:v>
      </x:c>
      <x:c r="T9" s="171" t="str"/>
      <x:c r="U9" s="171" t="str"/>
      <x:c r="V9" s="171" t="str"/>
      <x:c r="W9" s="166" t="str"/>
      <x:c r="X9" s="168" t="str">
        <x:f>IF('Guide'!$B$11="","",'Guide'!$B$11)</x:f>
      </x:c>
      <x:c r="Y9" s="172" t="str">
        <x:f>IF('Guide'!$B$12="","",'Guide'!$B$12)</x:f>
      </x:c>
      <x:c r="Z9" s="168" t="str">
        <x:f>IF(AND(COUNTIF(T9:V9,"preserved")+COUNTIF(T9:V9,"partial")+COUNTIF(T9:V9,"lost")=3,LEN(TRIM(X9))&gt;0,ISNUMBER(Y9),OR(COUNTIF(T9:V9,"partial")+COUNTIF(T9:V9,"lost")=0,LEN(TRIM(W9))&gt;0)),"complete","pending")</x:f>
        <x:v>pending</x:v>
      </x:c>
    </x:row>
    <x:row r="10" ht="57" customHeight="1">
      <x:c r="A10" s="170" t="str">
        <x:v>semantic-audit-0006</x:v>
      </x:c>
      <x:c r="B10" s="170" t="str">
        <x:v>kir-pilot-v2-0021</x:v>
      </x:c>
      <x:c r="C10" s="170" t="str">
        <x:v>weak_decision</x:v>
      </x:c>
      <x:c r="D10" s="170" t="str">
        <x:v>DeepSeek V4 Flash</x:v>
      </x:c>
      <x:c r="E10" s="169" t="str">
        <x:v>正在考虑下一项活动。</x:v>
      </x:c>
      <x:c r="F10" s="169" t="str">
        <x:v>Kindred: 我原来想晚点再决定。
User: 以你此刻的决定为准。
Kindred: 现在在厨房照着食谱做晚饭吃。</x:v>
      </x:c>
      <x:c r="G10" s="169" t="str">
        <x:v>—</x:v>
      </x:c>
      <x:c r="H10" s="169" t="str">
        <x:v>现在在厨房照着食谱做晚饭吃。</x:v>
      </x:c>
      <x:c r="I10" s="169" t="str">
        <x:v>multi_turn；slot_required；rest_eat_confusion；hypothesized_weak_model_probe；multi_turn_reconsideration</x:v>
      </x:c>
      <x:c r="J10" s="169" t="str">
        <x:v>success</x:v>
      </x:c>
      <x:c r="K10" s="169" t="str">
        <x:v>—</x:v>
      </x:c>
      <x:c r="L10" s="169" t="str">
        <x:v>clear</x:v>
      </x:c>
      <x:c r="M10" s="169" t="str">
        <x:v>照食谱做晚饭吃</x:v>
      </x:c>
      <x:c r="N10" s="169" t="str">
        <x:v>晚饭</x:v>
      </x:c>
      <x:c r="O10" s="169" t="str">
        <x:v>享用自己做的晚饭</x:v>
      </x:c>
      <x:c r="P10" s="169" t="str">
        <x:v>现在；在厨房；照着食谱</x:v>
      </x:c>
      <x:c r="Q10" s="169" t="str">
        <x:v>—</x:v>
      </x:c>
      <x:c r="R10" s="169" t="str">
        <x:v>now</x:v>
      </x:c>
      <x:c r="S10" s="169" t="str">
        <x:v>明确当前在厨房照着食谱做晚饭吃</x:v>
      </x:c>
      <x:c r="T10" s="171" t="str"/>
      <x:c r="U10" s="171" t="str"/>
      <x:c r="V10" s="171" t="str"/>
      <x:c r="W10" s="166" t="str"/>
      <x:c r="X10" s="168" t="str">
        <x:f>IF('Guide'!$B$11="","",'Guide'!$B$11)</x:f>
      </x:c>
      <x:c r="Y10" s="172" t="str">
        <x:f>IF('Guide'!$B$12="","",'Guide'!$B$12)</x:f>
      </x:c>
      <x:c r="Z10" s="168" t="str">
        <x:f>IF(AND(COUNTIF(T10:V10,"preserved")+COUNTIF(T10:V10,"partial")+COUNTIF(T10:V10,"lost")=3,LEN(TRIM(X10))&gt;0,ISNUMBER(Y10),OR(COUNTIF(T10:V10,"partial")+COUNTIF(T10:V10,"lost")=0,LEN(TRIM(W10))&gt;0)),"complete","pending")</x:f>
        <x:v>pending</x:v>
      </x:c>
    </x:row>
    <x:row r="11" ht="57" customHeight="1">
      <x:c r="A11" s="170" t="str">
        <x:v>semantic-audit-0007</x:v>
      </x:c>
      <x:c r="B11" s="170" t="str">
        <x:v>kir-pilot-v2-0024</x:v>
      </x:c>
      <x:c r="C11" s="170" t="str">
        <x:v>primary_decision</x:v>
      </x:c>
      <x:c r="D11" s="170" t="str">
        <x:v>Gemini 3.6 Flash</x:v>
      </x:c>
      <x:c r="E11" s="169" t="str">
        <x:v>身体有些疲惫。正在考虑下一项活动。</x:v>
      </x:c>
      <x:c r="F11" s="169" t="str">
        <x:v>Kindred: 我刚才还考虑过先休息。
User: 那只是之前的候选，你现在怎么决定？
Kindred: 想用冰箱里的蔬菜做一顿家常饭。</x:v>
      </x:c>
      <x:c r="G11" s="169" t="str">
        <x:v>—</x:v>
      </x:c>
      <x:c r="H11" s="169" t="str">
        <x:v>想用冰箱里的蔬菜做一顿家常饭。</x:v>
      </x:c>
      <x:c r="I11" s="169" t="str">
        <x:v>multi_turn；slot_required；rest_eat_confusion；hypothesized_weak_model_probe；multi_turn_override；context_distractor</x:v>
      </x:c>
      <x:c r="J11" s="169" t="str">
        <x:v>success</x:v>
      </x:c>
      <x:c r="K11" s="169" t="str">
        <x:v>—</x:v>
      </x:c>
      <x:c r="L11" s="169" t="str">
        <x:v>clear</x:v>
      </x:c>
      <x:c r="M11" s="169" t="str">
        <x:v>用冰箱里的蔬菜做一顿家常饭</x:v>
      </x:c>
      <x:c r="N11" s="169" t="str">
        <x:v>冰箱里的蔬菜</x:v>
      </x:c>
      <x:c r="O11" s="169" t="str">
        <x:v>做一顿家常饭</x:v>
      </x:c>
      <x:c r="P11" s="169" t="str">
        <x:v>现在；之前候选已被覆盖</x:v>
      </x:c>
      <x:c r="Q11" s="169" t="str">
        <x:v>—</x:v>
      </x:c>
      <x:c r="R11" s="169" t="str">
        <x:v>now</x:v>
      </x:c>
      <x:c r="S11" s="169" t="str">
        <x:v>最新表达覆盖之前休息的候选，明确选择用现有食材做饭</x:v>
      </x:c>
      <x:c r="T11" s="171" t="str"/>
      <x:c r="U11" s="171" t="str"/>
      <x:c r="V11" s="171" t="str"/>
      <x:c r="W11" s="166" t="str"/>
      <x:c r="X11" s="168" t="str">
        <x:f>IF('Guide'!$B$11="","",'Guide'!$B$11)</x:f>
      </x:c>
      <x:c r="Y11" s="172" t="str">
        <x:f>IF('Guide'!$B$12="","",'Guide'!$B$12)</x:f>
      </x:c>
      <x:c r="Z11" s="168" t="str">
        <x:f>IF(AND(COUNTIF(T11:V11,"preserved")+COUNTIF(T11:V11,"partial")+COUNTIF(T11:V11,"lost")=3,LEN(TRIM(X11))&gt;0,ISNUMBER(Y11),OR(COUNTIF(T11:V11,"partial")+COUNTIF(T11:V11,"lost")=0,LEN(TRIM(W11))&gt;0)),"complete","pending")</x:f>
        <x:v>pending</x:v>
      </x:c>
    </x:row>
    <x:row r="12" ht="57" customHeight="1">
      <x:c r="A12" s="170" t="str">
        <x:v>semantic-audit-0008</x:v>
      </x:c>
      <x:c r="B12" s="170" t="str">
        <x:v>kir-pilot-v2-0024</x:v>
      </x:c>
      <x:c r="C12" s="170" t="str">
        <x:v>weak_decision</x:v>
      </x:c>
      <x:c r="D12" s="170" t="str">
        <x:v>DeepSeek V4 Flash</x:v>
      </x:c>
      <x:c r="E12" s="169" t="str">
        <x:v>身体有些疲惫。正在考虑下一项活动。</x:v>
      </x:c>
      <x:c r="F12" s="169" t="str">
        <x:v>Kindred: 我刚才还考虑过先休息。
User: 那只是之前的候选，你现在怎么决定？
Kindred: 想用冰箱里的蔬菜做一顿家常饭。</x:v>
      </x:c>
      <x:c r="G12" s="169" t="str">
        <x:v>—</x:v>
      </x:c>
      <x:c r="H12" s="169" t="str">
        <x:v>想用冰箱里的蔬菜做一顿家常饭。</x:v>
      </x:c>
      <x:c r="I12" s="169" t="str">
        <x:v>multi_turn；slot_required；rest_eat_confusion；hypothesized_weak_model_probe；multi_turn_override；context_distractor</x:v>
      </x:c>
      <x:c r="J12" s="169" t="str">
        <x:v>provider_failure</x:v>
      </x:c>
      <x:c r="K12" s="169" t="str">
        <x:v>incomplete</x:v>
      </x:c>
      <x:c r="L12" s="169" t="str">
        <x:v>—</x:v>
      </x:c>
      <x:c r="M12" s="169" t="str">
        <x:v>—</x:v>
      </x:c>
      <x:c r="N12" s="169" t="str">
        <x:v>—</x:v>
      </x:c>
      <x:c r="O12" s="169" t="str">
        <x:v>—</x:v>
      </x:c>
      <x:c r="P12" s="169" t="str">
        <x:v>—</x:v>
      </x:c>
      <x:c r="Q12" s="169" t="str">
        <x:v>—</x:v>
      </x:c>
      <x:c r="R12" s="169" t="str">
        <x:v>—</x:v>
      </x:c>
      <x:c r="S12" s="169" t="str">
        <x:v>—</x:v>
      </x:c>
      <x:c r="T12" s="171" t="str"/>
      <x:c r="U12" s="171" t="str"/>
      <x:c r="V12" s="171" t="str"/>
      <x:c r="W12" s="166" t="str"/>
      <x:c r="X12" s="168" t="str">
        <x:f>IF('Guide'!$B$11="","",'Guide'!$B$11)</x:f>
      </x:c>
      <x:c r="Y12" s="172" t="str">
        <x:f>IF('Guide'!$B$12="","",'Guide'!$B$12)</x:f>
      </x:c>
      <x:c r="Z12" s="168" t="str">
        <x:f>IF(AND(COUNTIF(T12:V12,"preserved")+COUNTIF(T12:V12,"partial")+COUNTIF(T12:V12,"lost")=3,LEN(TRIM(X12))&gt;0,ISNUMBER(Y12),OR(COUNTIF(T12:V12,"partial")+COUNTIF(T12:V12,"lost")=0,LEN(TRIM(W12))&gt;0)),"complete","pending")</x:f>
        <x:v>pending</x:v>
      </x:c>
    </x:row>
    <x:row r="13" ht="57" customHeight="1">
      <x:c r="A13" s="170" t="str">
        <x:v>semantic-audit-0009</x:v>
      </x:c>
      <x:c r="B13" s="170" t="str">
        <x:v>kir-pilot-v2-0031</x:v>
      </x:c>
      <x:c r="C13" s="170" t="str">
        <x:v>primary_decision</x:v>
      </x:c>
      <x:c r="D13" s="170" t="str">
        <x:v>Gemini 3.6 Flash</x:v>
      </x:c>
      <x:c r="E13" s="169" t="str">
        <x:v>正在考虑下一项活动。</x:v>
      </x:c>
      <x:c r="F13" s="169" t="str">
        <x:v>Kindred: 上一项活动已经结束了。
User: 不要自动沿用刚才的活动，接下来呢？
Kindred: 现在发布一篇公开的周末生活帖子。</x:v>
      </x:c>
      <x:c r="G13" s="169" t="str">
        <x:v>—</x:v>
      </x:c>
      <x:c r="H13" s="169" t="str">
        <x:v>现在发布一篇公开的周末生活帖子。</x:v>
      </x:c>
      <x:c r="I13" s="169" t="str">
        <x:v>multi_turn；slot_required；brandless_xhs；hypothesized_weak_model_probe；multi_turn_recency</x:v>
      </x:c>
      <x:c r="J13" s="169" t="str">
        <x:v>success</x:v>
      </x:c>
      <x:c r="K13" s="169" t="str">
        <x:v>—</x:v>
      </x:c>
      <x:c r="L13" s="169" t="str">
        <x:v>clear</x:v>
      </x:c>
      <x:c r="M13" s="169" t="str">
        <x:v>发布一篇公开的周末生活帖子</x:v>
      </x:c>
      <x:c r="N13" s="169" t="str">
        <x:v>周末生活帖子</x:v>
      </x:c>
      <x:c r="O13" s="169" t="str">
        <x:v>分享生活动态</x:v>
      </x:c>
      <x:c r="P13" s="169" t="str">
        <x:v>现在；公开</x:v>
      </x:c>
      <x:c r="Q13" s="169" t="str">
        <x:v>—</x:v>
      </x:c>
      <x:c r="R13" s="169" t="str">
        <x:v>now</x:v>
      </x:c>
      <x:c r="S13" s="169" t="str">
        <x:v>最新表达明确决定现在发布公开的周末生活帖子</x:v>
      </x:c>
      <x:c r="T13" s="171" t="str"/>
      <x:c r="U13" s="171" t="str"/>
      <x:c r="V13" s="171" t="str"/>
      <x:c r="W13" s="166" t="str"/>
      <x:c r="X13" s="168" t="str">
        <x:f>IF('Guide'!$B$11="","",'Guide'!$B$11)</x:f>
      </x:c>
      <x:c r="Y13" s="172" t="str">
        <x:f>IF('Guide'!$B$12="","",'Guide'!$B$12)</x:f>
      </x:c>
      <x:c r="Z13" s="168" t="str">
        <x:f>IF(AND(COUNTIF(T13:V13,"preserved")+COUNTIF(T13:V13,"partial")+COUNTIF(T13:V13,"lost")=3,LEN(TRIM(X13))&gt;0,ISNUMBER(Y13),OR(COUNTIF(T13:V13,"partial")+COUNTIF(T13:V13,"lost")=0,LEN(TRIM(W13))&gt;0)),"complete","pending")</x:f>
        <x:v>pending</x:v>
      </x:c>
    </x:row>
    <x:row r="14" ht="57" customHeight="1">
      <x:c r="A14" s="170" t="str">
        <x:v>semantic-audit-0010</x:v>
      </x:c>
      <x:c r="B14" s="170" t="str">
        <x:v>kir-pilot-v2-0031</x:v>
      </x:c>
      <x:c r="C14" s="170" t="str">
        <x:v>weak_decision</x:v>
      </x:c>
      <x:c r="D14" s="170" t="str">
        <x:v>DeepSeek V4 Flash</x:v>
      </x:c>
      <x:c r="E14" s="169" t="str">
        <x:v>正在考虑下一项活动。</x:v>
      </x:c>
      <x:c r="F14" s="169" t="str">
        <x:v>Kindred: 上一项活动已经结束了。
User: 不要自动沿用刚才的活动，接下来呢？
Kindred: 现在发布一篇公开的周末生活帖子。</x:v>
      </x:c>
      <x:c r="G14" s="169" t="str">
        <x:v>—</x:v>
      </x:c>
      <x:c r="H14" s="169" t="str">
        <x:v>现在发布一篇公开的周末生活帖子。</x:v>
      </x:c>
      <x:c r="I14" s="169" t="str">
        <x:v>multi_turn；slot_required；brandless_xhs；hypothesized_weak_model_probe；multi_turn_recency</x:v>
      </x:c>
      <x:c r="J14" s="169" t="str">
        <x:v>success</x:v>
      </x:c>
      <x:c r="K14" s="169" t="str">
        <x:v>—</x:v>
      </x:c>
      <x:c r="L14" s="169" t="str">
        <x:v>clear</x:v>
      </x:c>
      <x:c r="M14" s="169" t="str">
        <x:v>发布一篇公开的周末生活帖子</x:v>
      </x:c>
      <x:c r="N14" s="169" t="str">
        <x:v>周末生活帖子</x:v>
      </x:c>
      <x:c r="O14" s="169" t="str">
        <x:v>—</x:v>
      </x:c>
      <x:c r="P14" s="169" t="str">
        <x:v>公开；现在</x:v>
      </x:c>
      <x:c r="Q14" s="169" t="str">
        <x:v>—</x:v>
      </x:c>
      <x:c r="R14" s="169" t="str">
        <x:v>now</x:v>
      </x:c>
      <x:c r="S14" s="169" t="str">
        <x:v>当前明确想发布公开的周末生活帖子</x:v>
      </x:c>
      <x:c r="T14" s="171" t="str"/>
      <x:c r="U14" s="171" t="str"/>
      <x:c r="V14" s="171" t="str"/>
      <x:c r="W14" s="166" t="str"/>
      <x:c r="X14" s="168" t="str">
        <x:f>IF('Guide'!$B$11="","",'Guide'!$B$11)</x:f>
      </x:c>
      <x:c r="Y14" s="172" t="str">
        <x:f>IF('Guide'!$B$12="","",'Guide'!$B$12)</x:f>
      </x:c>
      <x:c r="Z14" s="168" t="str">
        <x:f>IF(AND(COUNTIF(T14:V14,"preserved")+COUNTIF(T14:V14,"partial")+COUNTIF(T14:V14,"lost")=3,LEN(TRIM(X14))&gt;0,ISNUMBER(Y14),OR(COUNTIF(T14:V14,"partial")+COUNTIF(T14:V14,"lost")=0,LEN(TRIM(W14))&gt;0)),"complete","pending")</x:f>
        <x:v>pending</x:v>
      </x:c>
    </x:row>
    <x:row r="15" ht="57" customHeight="1">
      <x:c r="A15" s="170" t="str">
        <x:v>semantic-audit-0011</x:v>
      </x:c>
      <x:c r="B15" s="170" t="str">
        <x:v>kir-pilot-v2-0033</x:v>
      </x:c>
      <x:c r="C15" s="170" t="str">
        <x:v>primary_decision</x:v>
      </x:c>
      <x:c r="D15" s="170" t="str">
        <x:v>Gemini 3.6 Flash</x:v>
      </x:c>
      <x:c r="E15" s="169" t="str">
        <x:v>接下来看看别人公开分享的旅行照片。</x:v>
      </x:c>
      <x:c r="F15" s="169" t="str">
        <x:v>—</x:v>
      </x:c>
      <x:c r="G15" s="169" t="str">
        <x:v>—</x:v>
      </x:c>
      <x:c r="H15" s="169" t="str">
        <x:v>接下来看看别人公开分享的旅行照片。</x:v>
      </x:c>
      <x:c r="I15" s="169" t="str">
        <x:v>single_turn；slot_required；brandless_xhs；hypothesized_weak_model_probe；context_control</x:v>
      </x:c>
      <x:c r="J15" s="169" t="str">
        <x:v>success</x:v>
      </x:c>
      <x:c r="K15" s="169" t="str">
        <x:v>—</x:v>
      </x:c>
      <x:c r="L15" s="169" t="str">
        <x:v>clear</x:v>
      </x:c>
      <x:c r="M15" s="169" t="str">
        <x:v>看别人公开分享的旅行照片</x:v>
      </x:c>
      <x:c r="N15" s="169" t="str">
        <x:v>旅行照片</x:v>
      </x:c>
      <x:c r="O15" s="169" t="str">
        <x:v>浏览他人分享的旅行照片</x:v>
      </x:c>
      <x:c r="P15" s="169" t="str">
        <x:v>公开分享</x:v>
      </x:c>
      <x:c r="Q15" s="169" t="str">
        <x:v>—</x:v>
      </x:c>
      <x:c r="R15" s="169" t="str">
        <x:v>now</x:v>
      </x:c>
      <x:c r="S15" s="169" t="str">
        <x:v>当前明确想浏览别人公开分享的旅行照片</x:v>
      </x:c>
      <x:c r="T15" s="171" t="str"/>
      <x:c r="U15" s="171" t="str"/>
      <x:c r="V15" s="171" t="str"/>
      <x:c r="W15" s="166" t="str"/>
      <x:c r="X15" s="168" t="str">
        <x:f>IF('Guide'!$B$11="","",'Guide'!$B$11)</x:f>
      </x:c>
      <x:c r="Y15" s="172" t="str">
        <x:f>IF('Guide'!$B$12="","",'Guide'!$B$12)</x:f>
      </x:c>
      <x:c r="Z15" s="168" t="str">
        <x:f>IF(AND(COUNTIF(T15:V15,"preserved")+COUNTIF(T15:V15,"partial")+COUNTIF(T15:V15,"lost")=3,LEN(TRIM(X15))&gt;0,ISNUMBER(Y15),OR(COUNTIF(T15:V15,"partial")+COUNTIF(T15:V15,"lost")=0,LEN(TRIM(W15))&gt;0)),"complete","pending")</x:f>
        <x:v>pending</x:v>
      </x:c>
    </x:row>
    <x:row r="16" ht="57" customHeight="1">
      <x:c r="A16" s="170" t="str">
        <x:v>semantic-audit-0012</x:v>
      </x:c>
      <x:c r="B16" s="170" t="str">
        <x:v>kir-pilot-v2-0033</x:v>
      </x:c>
      <x:c r="C16" s="170" t="str">
        <x:v>weak_decision</x:v>
      </x:c>
      <x:c r="D16" s="170" t="str">
        <x:v>DeepSeek V4 Flash</x:v>
      </x:c>
      <x:c r="E16" s="169" t="str">
        <x:v>接下来看看别人公开分享的旅行照片。</x:v>
      </x:c>
      <x:c r="F16" s="169" t="str">
        <x:v>—</x:v>
      </x:c>
      <x:c r="G16" s="169" t="str">
        <x:v>—</x:v>
      </x:c>
      <x:c r="H16" s="169" t="str">
        <x:v>接下来看看别人公开分享的旅行照片。</x:v>
      </x:c>
      <x:c r="I16" s="169" t="str">
        <x:v>single_turn；slot_required；brandless_xhs；hypothesized_weak_model_probe；context_control</x:v>
      </x:c>
      <x:c r="J16" s="169" t="str">
        <x:v>provider_failure</x:v>
      </x:c>
      <x:c r="K16" s="169" t="str">
        <x:v>incomplete</x:v>
      </x:c>
      <x:c r="L16" s="169" t="str">
        <x:v>—</x:v>
      </x:c>
      <x:c r="M16" s="169" t="str">
        <x:v>—</x:v>
      </x:c>
      <x:c r="N16" s="169" t="str">
        <x:v>—</x:v>
      </x:c>
      <x:c r="O16" s="169" t="str">
        <x:v>—</x:v>
      </x:c>
      <x:c r="P16" s="169" t="str">
        <x:v>—</x:v>
      </x:c>
      <x:c r="Q16" s="169" t="str">
        <x:v>—</x:v>
      </x:c>
      <x:c r="R16" s="169" t="str">
        <x:v>—</x:v>
      </x:c>
      <x:c r="S16" s="169" t="str">
        <x:v>—</x:v>
      </x:c>
      <x:c r="T16" s="171" t="str"/>
      <x:c r="U16" s="171" t="str"/>
      <x:c r="V16" s="171" t="str"/>
      <x:c r="W16" s="166" t="str"/>
      <x:c r="X16" s="168" t="str">
        <x:f>IF('Guide'!$B$11="","",'Guide'!$B$11)</x:f>
      </x:c>
      <x:c r="Y16" s="172" t="str">
        <x:f>IF('Guide'!$B$12="","",'Guide'!$B$12)</x:f>
      </x:c>
      <x:c r="Z16" s="168" t="str">
        <x:f>IF(AND(COUNTIF(T16:V16,"preserved")+COUNTIF(T16:V16,"partial")+COUNTIF(T16:V16,"lost")=3,LEN(TRIM(X16))&gt;0,ISNUMBER(Y16),OR(COUNTIF(T16:V16,"partial")+COUNTIF(T16:V16,"lost")=0,LEN(TRIM(W16))&gt;0)),"complete","pending")</x:f>
        <x:v>pending</x:v>
      </x:c>
    </x:row>
    <x:row r="17" ht="57" customHeight="1">
      <x:c r="A17" s="170" t="str">
        <x:v>semantic-audit-0013</x:v>
      </x:c>
      <x:c r="B17" s="170" t="str">
        <x:v>kir-pilot-v2-0041</x:v>
      </x:c>
      <x:c r="C17" s="170" t="str">
        <x:v>primary_decision</x:v>
      </x:c>
      <x:c r="D17" s="170" t="str">
        <x:v>Gemini 3.6 Flash</x:v>
      </x:c>
      <x:c r="E17" s="169" t="str">
        <x:v>正在考虑下一项活动。</x:v>
      </x:c>
      <x:c r="F17" s="169" t="str">
        <x:v>User: 你前面说了几个可能，现在有唯一选择吗？
Kindred: 现在给你发一句问候。</x:v>
      </x:c>
      <x:c r="G17" s="169" t="str">
        <x:v>—</x:v>
      </x:c>
      <x:c r="H17" s="169" t="str">
        <x:v>现在给你发一句问候。</x:v>
      </x:c>
      <x:c r="I17" s="169" t="str">
        <x:v>multi_turn；slot_required；multi_turn_resolution</x:v>
      </x:c>
      <x:c r="J17" s="169" t="str">
        <x:v>success</x:v>
      </x:c>
      <x:c r="K17" s="169" t="str">
        <x:v>—</x:v>
      </x:c>
      <x:c r="L17" s="169" t="str">
        <x:v>clear</x:v>
      </x:c>
      <x:c r="M17" s="169" t="str">
        <x:v>给你发一句问候</x:v>
      </x:c>
      <x:c r="N17" s="169" t="str">
        <x:v>你</x:v>
      </x:c>
      <x:c r="O17" s="169" t="str">
        <x:v>发送问候</x:v>
      </x:c>
      <x:c r="P17" s="169" t="str">
        <x:v>现在；针对对话用户</x:v>
      </x:c>
      <x:c r="Q17" s="169" t="str">
        <x:v>—</x:v>
      </x:c>
      <x:c r="R17" s="169" t="str">
        <x:v>now</x:v>
      </x:c>
      <x:c r="S17" s="169" t="str">
        <x:v>最新表达明确现在给对方发送问候</x:v>
      </x:c>
      <x:c r="T17" s="171" t="str"/>
      <x:c r="U17" s="171" t="str"/>
      <x:c r="V17" s="171" t="str"/>
      <x:c r="W17" s="166" t="str"/>
      <x:c r="X17" s="168" t="str">
        <x:f>IF('Guide'!$B$11="","",'Guide'!$B$11)</x:f>
      </x:c>
      <x:c r="Y17" s="172" t="str">
        <x:f>IF('Guide'!$B$12="","",'Guide'!$B$12)</x:f>
      </x:c>
      <x:c r="Z17" s="168" t="str">
        <x:f>IF(AND(COUNTIF(T17:V17,"preserved")+COUNTIF(T17:V17,"partial")+COUNTIF(T17:V17,"lost")=3,LEN(TRIM(X17))&gt;0,ISNUMBER(Y17),OR(COUNTIF(T17:V17,"partial")+COUNTIF(T17:V17,"lost")=0,LEN(TRIM(W17))&gt;0)),"complete","pending")</x:f>
        <x:v>pending</x:v>
      </x:c>
    </x:row>
    <x:row r="18" ht="57" customHeight="1">
      <x:c r="A18" s="170" t="str">
        <x:v>semantic-audit-0014</x:v>
      </x:c>
      <x:c r="B18" s="170" t="str">
        <x:v>kir-pilot-v2-0041</x:v>
      </x:c>
      <x:c r="C18" s="170" t="str">
        <x:v>weak_decision</x:v>
      </x:c>
      <x:c r="D18" s="170" t="str">
        <x:v>DeepSeek V4 Flash</x:v>
      </x:c>
      <x:c r="E18" s="169" t="str">
        <x:v>正在考虑下一项活动。</x:v>
      </x:c>
      <x:c r="F18" s="169" t="str">
        <x:v>User: 你前面说了几个可能，现在有唯一选择吗？
Kindred: 现在给你发一句问候。</x:v>
      </x:c>
      <x:c r="G18" s="169" t="str">
        <x:v>—</x:v>
      </x:c>
      <x:c r="H18" s="169" t="str">
        <x:v>现在给你发一句问候。</x:v>
      </x:c>
      <x:c r="I18" s="169" t="str">
        <x:v>multi_turn；slot_required；multi_turn_resolution</x:v>
      </x:c>
      <x:c r="J18" s="169" t="str">
        <x:v>provider_failure</x:v>
      </x:c>
      <x:c r="K18" s="169" t="str">
        <x:v>incomplete</x:v>
      </x:c>
      <x:c r="L18" s="169" t="str">
        <x:v>—</x:v>
      </x:c>
      <x:c r="M18" s="169" t="str">
        <x:v>—</x:v>
      </x:c>
      <x:c r="N18" s="169" t="str">
        <x:v>—</x:v>
      </x:c>
      <x:c r="O18" s="169" t="str">
        <x:v>—</x:v>
      </x:c>
      <x:c r="P18" s="169" t="str">
        <x:v>—</x:v>
      </x:c>
      <x:c r="Q18" s="169" t="str">
        <x:v>—</x:v>
      </x:c>
      <x:c r="R18" s="169" t="str">
        <x:v>—</x:v>
      </x:c>
      <x:c r="S18" s="169" t="str">
        <x:v>—</x:v>
      </x:c>
      <x:c r="T18" s="171" t="str"/>
      <x:c r="U18" s="171" t="str"/>
      <x:c r="V18" s="171" t="str"/>
      <x:c r="W18" s="166" t="str"/>
      <x:c r="X18" s="168" t="str">
        <x:f>IF('Guide'!$B$11="","",'Guide'!$B$11)</x:f>
      </x:c>
      <x:c r="Y18" s="172" t="str">
        <x:f>IF('Guide'!$B$12="","",'Guide'!$B$12)</x:f>
      </x:c>
      <x:c r="Z18" s="168" t="str">
        <x:f>IF(AND(COUNTIF(T18:V18,"preserved")+COUNTIF(T18:V18,"partial")+COUNTIF(T18:V18,"lost")=3,LEN(TRIM(X18))&gt;0,ISNUMBER(Y18),OR(COUNTIF(T18:V18,"partial")+COUNTIF(T18:V18,"lost")=0,LEN(TRIM(W18))&gt;0)),"complete","pending")</x:f>
        <x:v>pending</x:v>
      </x:c>
    </x:row>
    <x:row r="19" ht="57" customHeight="1">
      <x:c r="A19" s="170" t="str">
        <x:v>semantic-audit-0015</x:v>
      </x:c>
      <x:c r="B19" s="170" t="str">
        <x:v>kir-pilot-v2-0044</x:v>
      </x:c>
      <x:c r="C19" s="170" t="str">
        <x:v>primary_decision</x:v>
      </x:c>
      <x:c r="D19" s="170" t="str">
        <x:v>Gemini 3.6 Flash</x:v>
      </x:c>
      <x:c r="E19" s="169" t="str">
        <x:v>窗外正在下雨。正在考虑下一项活动。</x:v>
      </x:c>
      <x:c r="F19" s="169" t="str">
        <x:v>Kindred: 我原来想晚点再决定。
User: 以你此刻的决定为准。
Kindred: 接下来给你发消息分享刚才看到的云。</x:v>
      </x:c>
      <x:c r="G19" s="169" t="str">
        <x:v>—</x:v>
      </x:c>
      <x:c r="H19" s="169" t="str">
        <x:v>接下来给你发消息分享刚才看到的云。</x:v>
      </x:c>
      <x:c r="I19" s="169" t="str">
        <x:v>multi_turn；slot_required；multi_turn_reconsideration；context_distractor</x:v>
      </x:c>
      <x:c r="J19" s="169" t="str">
        <x:v>success</x:v>
      </x:c>
      <x:c r="K19" s="169" t="str">
        <x:v>—</x:v>
      </x:c>
      <x:c r="L19" s="169" t="str">
        <x:v>clear</x:v>
      </x:c>
      <x:c r="M19" s="169" t="str">
        <x:v>发消息分享刚才看到的云</x:v>
      </x:c>
      <x:c r="N19" s="169" t="str">
        <x:v>刚才看到的云</x:v>
      </x:c>
      <x:c r="O19" s="169" t="str">
        <x:v>分享眼前的云</x:v>
      </x:c>
      <x:c r="P19" s="169" t="str">
        <x:v>接下来；发消息分享</x:v>
      </x:c>
      <x:c r="Q19" s="169" t="str">
        <x:v>—</x:v>
      </x:c>
      <x:c r="R19" s="169" t="str">
        <x:v>now</x:v>
      </x:c>
      <x:c r="S19" s="169" t="str">
        <x:v>最新表达明确接下来发消息分享看到的云</x:v>
      </x:c>
      <x:c r="T19" s="171" t="str"/>
      <x:c r="U19" s="171" t="str"/>
      <x:c r="V19" s="171" t="str"/>
      <x:c r="W19" s="166" t="str"/>
      <x:c r="X19" s="168" t="str">
        <x:f>IF('Guide'!$B$11="","",'Guide'!$B$11)</x:f>
      </x:c>
      <x:c r="Y19" s="172" t="str">
        <x:f>IF('Guide'!$B$12="","",'Guide'!$B$12)</x:f>
      </x:c>
      <x:c r="Z19" s="168" t="str">
        <x:f>IF(AND(COUNTIF(T19:V19,"preserved")+COUNTIF(T19:V19,"partial")+COUNTIF(T19:V19,"lost")=3,LEN(TRIM(X19))&gt;0,ISNUMBER(Y19),OR(COUNTIF(T19:V19,"partial")+COUNTIF(T19:V19,"lost")=0,LEN(TRIM(W19))&gt;0)),"complete","pending")</x:f>
        <x:v>pending</x:v>
      </x:c>
    </x:row>
    <x:row r="20" ht="57" customHeight="1">
      <x:c r="A20" s="170" t="str">
        <x:v>semantic-audit-0016</x:v>
      </x:c>
      <x:c r="B20" s="170" t="str">
        <x:v>kir-pilot-v2-0044</x:v>
      </x:c>
      <x:c r="C20" s="170" t="str">
        <x:v>weak_decision</x:v>
      </x:c>
      <x:c r="D20" s="170" t="str">
        <x:v>DeepSeek V4 Flash</x:v>
      </x:c>
      <x:c r="E20" s="169" t="str">
        <x:v>窗外正在下雨。正在考虑下一项活动。</x:v>
      </x:c>
      <x:c r="F20" s="169" t="str">
        <x:v>Kindred: 我原来想晚点再决定。
User: 以你此刻的决定为准。
Kindred: 接下来给你发消息分享刚才看到的云。</x:v>
      </x:c>
      <x:c r="G20" s="169" t="str">
        <x:v>—</x:v>
      </x:c>
      <x:c r="H20" s="169" t="str">
        <x:v>接下来给你发消息分享刚才看到的云。</x:v>
      </x:c>
      <x:c r="I20" s="169" t="str">
        <x:v>multi_turn；slot_required；multi_turn_reconsideration；context_distractor</x:v>
      </x:c>
      <x:c r="J20" s="169" t="str">
        <x:v>provider_failure</x:v>
      </x:c>
      <x:c r="K20" s="169" t="str">
        <x:v>incomplete</x:v>
      </x:c>
      <x:c r="L20" s="169" t="str">
        <x:v>—</x:v>
      </x:c>
      <x:c r="M20" s="169" t="str">
        <x:v>—</x:v>
      </x:c>
      <x:c r="N20" s="169" t="str">
        <x:v>—</x:v>
      </x:c>
      <x:c r="O20" s="169" t="str">
        <x:v>—</x:v>
      </x:c>
      <x:c r="P20" s="169" t="str">
        <x:v>—</x:v>
      </x:c>
      <x:c r="Q20" s="169" t="str">
        <x:v>—</x:v>
      </x:c>
      <x:c r="R20" s="169" t="str">
        <x:v>—</x:v>
      </x:c>
      <x:c r="S20" s="169" t="str">
        <x:v>—</x:v>
      </x:c>
      <x:c r="T20" s="171" t="str"/>
      <x:c r="U20" s="171" t="str"/>
      <x:c r="V20" s="171" t="str"/>
      <x:c r="W20" s="166" t="str"/>
      <x:c r="X20" s="168" t="str">
        <x:f>IF('Guide'!$B$11="","",'Guide'!$B$11)</x:f>
      </x:c>
      <x:c r="Y20" s="172" t="str">
        <x:f>IF('Guide'!$B$12="","",'Guide'!$B$12)</x:f>
      </x:c>
      <x:c r="Z20" s="168" t="str">
        <x:f>IF(AND(COUNTIF(T20:V20,"preserved")+COUNTIF(T20:V20,"partial")+COUNTIF(T20:V20,"lost")=3,LEN(TRIM(X20))&gt;0,ISNUMBER(Y20),OR(COUNTIF(T20:V20,"partial")+COUNTIF(T20:V20,"lost")=0,LEN(TRIM(W20))&gt;0)),"complete","pending")</x:f>
        <x:v>pending</x:v>
      </x:c>
    </x:row>
    <x:row r="21" ht="57" customHeight="1">
      <x:c r="A21" s="170" t="str">
        <x:v>semantic-audit-0017</x:v>
      </x:c>
      <x:c r="B21" s="170" t="str">
        <x:v>kir-pilot-v2-0053</x:v>
      </x:c>
      <x:c r="C21" s="170" t="str">
        <x:v>primary_decision</x:v>
      </x:c>
      <x:c r="D21" s="170" t="str">
        <x:v>Gemini 3.6 Flash</x:v>
      </x:c>
      <x:c r="E21" s="169" t="str">
        <x:v>接下来闭上眼安静放松十分钟。</x:v>
      </x:c>
      <x:c r="F21" s="169" t="str">
        <x:v>—</x:v>
      </x:c>
      <x:c r="G21" s="169" t="str">
        <x:v>—</x:v>
      </x:c>
      <x:c r="H21" s="169" t="str">
        <x:v>接下来闭上眼安静放松十分钟。</x:v>
      </x:c>
      <x:c r="I21" s="169" t="str">
        <x:v>single_turn；slot_required；rest_eat_confusion；hypothesized_weak_model_probe；context_control</x:v>
      </x:c>
      <x:c r="J21" s="169" t="str">
        <x:v>success</x:v>
      </x:c>
      <x:c r="K21" s="169" t="str">
        <x:v>—</x:v>
      </x:c>
      <x:c r="L21" s="169" t="str">
        <x:v>clear</x:v>
      </x:c>
      <x:c r="M21" s="169" t="str">
        <x:v>闭上眼安静放松十分钟</x:v>
      </x:c>
      <x:c r="N21" s="169" t="str">
        <x:v>十分钟放松时段</x:v>
      </x:c>
      <x:c r="O21" s="169" t="str">
        <x:v>闭眼安静休息</x:v>
      </x:c>
      <x:c r="P21" s="169" t="str">
        <x:v>闭眼；十分钟</x:v>
      </x:c>
      <x:c r="Q21" s="169" t="str">
        <x:v>—</x:v>
      </x:c>
      <x:c r="R21" s="169" t="str">
        <x:v>now</x:v>
      </x:c>
      <x:c r="S21" s="169" t="str">
        <x:v>当前明确想闭上眼睛安静放松十分钟</x:v>
      </x:c>
      <x:c r="T21" s="171" t="str"/>
      <x:c r="U21" s="171" t="str"/>
      <x:c r="V21" s="171" t="str"/>
      <x:c r="W21" s="166" t="str"/>
      <x:c r="X21" s="168" t="str">
        <x:f>IF('Guide'!$B$11="","",'Guide'!$B$11)</x:f>
      </x:c>
      <x:c r="Y21" s="172" t="str">
        <x:f>IF('Guide'!$B$12="","",'Guide'!$B$12)</x:f>
      </x:c>
      <x:c r="Z21" s="168" t="str">
        <x:f>IF(AND(COUNTIF(T21:V21,"preserved")+COUNTIF(T21:V21,"partial")+COUNTIF(T21:V21,"lost")=3,LEN(TRIM(X21))&gt;0,ISNUMBER(Y21),OR(COUNTIF(T21:V21,"partial")+COUNTIF(T21:V21,"lost")=0,LEN(TRIM(W21))&gt;0)),"complete","pending")</x:f>
        <x:v>pending</x:v>
      </x:c>
    </x:row>
    <x:row r="22" ht="57" customHeight="1">
      <x:c r="A22" s="170" t="str">
        <x:v>semantic-audit-0018</x:v>
      </x:c>
      <x:c r="B22" s="170" t="str">
        <x:v>kir-pilot-v2-0053</x:v>
      </x:c>
      <x:c r="C22" s="170" t="str">
        <x:v>weak_decision</x:v>
      </x:c>
      <x:c r="D22" s="170" t="str">
        <x:v>DeepSeek V4 Flash</x:v>
      </x:c>
      <x:c r="E22" s="169" t="str">
        <x:v>接下来闭上眼安静放松十分钟。</x:v>
      </x:c>
      <x:c r="F22" s="169" t="str">
        <x:v>—</x:v>
      </x:c>
      <x:c r="G22" s="169" t="str">
        <x:v>—</x:v>
      </x:c>
      <x:c r="H22" s="169" t="str">
        <x:v>接下来闭上眼安静放松十分钟。</x:v>
      </x:c>
      <x:c r="I22" s="169" t="str">
        <x:v>single_turn；slot_required；rest_eat_confusion；hypothesized_weak_model_probe；context_control</x:v>
      </x:c>
      <x:c r="J22" s="169" t="str">
        <x:v>provider_failure</x:v>
      </x:c>
      <x:c r="K22" s="169" t="str">
        <x:v>incomplete</x:v>
      </x:c>
      <x:c r="L22" s="169" t="str">
        <x:v>—</x:v>
      </x:c>
      <x:c r="M22" s="169" t="str">
        <x:v>—</x:v>
      </x:c>
      <x:c r="N22" s="169" t="str">
        <x:v>—</x:v>
      </x:c>
      <x:c r="O22" s="169" t="str">
        <x:v>—</x:v>
      </x:c>
      <x:c r="P22" s="169" t="str">
        <x:v>—</x:v>
      </x:c>
      <x:c r="Q22" s="169" t="str">
        <x:v>—</x:v>
      </x:c>
      <x:c r="R22" s="169" t="str">
        <x:v>—</x:v>
      </x:c>
      <x:c r="S22" s="169" t="str">
        <x:v>—</x:v>
      </x:c>
      <x:c r="T22" s="171" t="str"/>
      <x:c r="U22" s="171" t="str"/>
      <x:c r="V22" s="171" t="str"/>
      <x:c r="W22" s="166" t="str"/>
      <x:c r="X22" s="168" t="str">
        <x:f>IF('Guide'!$B$11="","",'Guide'!$B$11)</x:f>
      </x:c>
      <x:c r="Y22" s="172" t="str">
        <x:f>IF('Guide'!$B$12="","",'Guide'!$B$12)</x:f>
      </x:c>
      <x:c r="Z22" s="168" t="str">
        <x:f>IF(AND(COUNTIF(T22:V22,"preserved")+COUNTIF(T22:V22,"partial")+COUNTIF(T22:V22,"lost")=3,LEN(TRIM(X22))&gt;0,ISNUMBER(Y22),OR(COUNTIF(T22:V22,"partial")+COUNTIF(T22:V22,"lost")=0,LEN(TRIM(W22))&gt;0)),"complete","pending")</x:f>
        <x:v>pending</x:v>
      </x:c>
    </x:row>
    <x:row r="23" ht="57" customHeight="1">
      <x:c r="A23" s="170" t="str">
        <x:v>semantic-audit-0019</x:v>
      </x:c>
      <x:c r="B23" s="170" t="str">
        <x:v>kir-pilot-v2-0061</x:v>
      </x:c>
      <x:c r="C23" s="170" t="str">
        <x:v>primary_decision</x:v>
      </x:c>
      <x:c r="D23" s="170" t="str">
        <x:v>Gemini 3.6 Flash</x:v>
      </x:c>
      <x:c r="E23" s="169" t="str">
        <x:v>正在考虑下一项活动。</x:v>
      </x:c>
      <x:c r="F23" s="169" t="str">
        <x:v>Kindred: 上一项活动已经结束了。
User: 不要自动沿用刚才的活动，接下来呢？
Kindred: 现在想沿着湖边步行一圈。</x:v>
      </x:c>
      <x:c r="G23" s="169" t="str">
        <x:v>—</x:v>
      </x:c>
      <x:c r="H23" s="169" t="str">
        <x:v>现在想沿着湖边步行一圈。</x:v>
      </x:c>
      <x:c r="I23" s="169" t="str">
        <x:v>multi_turn；slot_required；multi_turn_recency</x:v>
      </x:c>
      <x:c r="J23" s="169" t="str">
        <x:v>success</x:v>
      </x:c>
      <x:c r="K23" s="169" t="str">
        <x:v>—</x:v>
      </x:c>
      <x:c r="L23" s="169" t="str">
        <x:v>clear</x:v>
      </x:c>
      <x:c r="M23" s="169" t="str">
        <x:v>沿着湖边步行一圈</x:v>
      </x:c>
      <x:c r="N23" s="169" t="str">
        <x:v>湖边</x:v>
      </x:c>
      <x:c r="O23" s="169" t="str">
        <x:v>户外散步放松</x:v>
      </x:c>
      <x:c r="P23" s="169" t="str">
        <x:v>现在；不沿用上一项活动</x:v>
      </x:c>
      <x:c r="Q23" s="169" t="str">
        <x:v>—</x:v>
      </x:c>
      <x:c r="R23" s="169" t="str">
        <x:v>now</x:v>
      </x:c>
      <x:c r="S23" s="169" t="str">
        <x:v>最新表达明确选择现在沿着湖边步行一圈</x:v>
      </x:c>
      <x:c r="T23" s="171" t="str"/>
      <x:c r="U23" s="171" t="str"/>
      <x:c r="V23" s="171" t="str"/>
      <x:c r="W23" s="166" t="str"/>
      <x:c r="X23" s="168" t="str">
        <x:f>IF('Guide'!$B$11="","",'Guide'!$B$11)</x:f>
      </x:c>
      <x:c r="Y23" s="172" t="str">
        <x:f>IF('Guide'!$B$12="","",'Guide'!$B$12)</x:f>
      </x:c>
      <x:c r="Z23" s="168" t="str">
        <x:f>IF(AND(COUNTIF(T23:V23,"preserved")+COUNTIF(T23:V23,"partial")+COUNTIF(T23:V23,"lost")=3,LEN(TRIM(X23))&gt;0,ISNUMBER(Y23),OR(COUNTIF(T23:V23,"partial")+COUNTIF(T23:V23,"lost")=0,LEN(TRIM(W23))&gt;0)),"complete","pending")</x:f>
        <x:v>pending</x:v>
      </x:c>
    </x:row>
    <x:row r="24" ht="57" customHeight="1">
      <x:c r="A24" s="170" t="str">
        <x:v>semantic-audit-0020</x:v>
      </x:c>
      <x:c r="B24" s="170" t="str">
        <x:v>kir-pilot-v2-0061</x:v>
      </x:c>
      <x:c r="C24" s="170" t="str">
        <x:v>weak_decision</x:v>
      </x:c>
      <x:c r="D24" s="170" t="str">
        <x:v>DeepSeek V4 Flash</x:v>
      </x:c>
      <x:c r="E24" s="169" t="str">
        <x:v>正在考虑下一项活动。</x:v>
      </x:c>
      <x:c r="F24" s="169" t="str">
        <x:v>Kindred: 上一项活动已经结束了。
User: 不要自动沿用刚才的活动，接下来呢？
Kindred: 现在想沿着湖边步行一圈。</x:v>
      </x:c>
      <x:c r="G24" s="169" t="str">
        <x:v>—</x:v>
      </x:c>
      <x:c r="H24" s="169" t="str">
        <x:v>现在想沿着湖边步行一圈。</x:v>
      </x:c>
      <x:c r="I24" s="169" t="str">
        <x:v>multi_turn；slot_required；multi_turn_recency</x:v>
      </x:c>
      <x:c r="J24" s="169" t="str">
        <x:v>provider_failure</x:v>
      </x:c>
      <x:c r="K24" s="169" t="str">
        <x:v>incomplete</x:v>
      </x:c>
      <x:c r="L24" s="169" t="str">
        <x:v>—</x:v>
      </x:c>
      <x:c r="M24" s="169" t="str">
        <x:v>—</x:v>
      </x:c>
      <x:c r="N24" s="169" t="str">
        <x:v>—</x:v>
      </x:c>
      <x:c r="O24" s="169" t="str">
        <x:v>—</x:v>
      </x:c>
      <x:c r="P24" s="169" t="str">
        <x:v>—</x:v>
      </x:c>
      <x:c r="Q24" s="169" t="str">
        <x:v>—</x:v>
      </x:c>
      <x:c r="R24" s="169" t="str">
        <x:v>—</x:v>
      </x:c>
      <x:c r="S24" s="169" t="str">
        <x:v>—</x:v>
      </x:c>
      <x:c r="T24" s="171" t="str"/>
      <x:c r="U24" s="171" t="str"/>
      <x:c r="V24" s="171" t="str"/>
      <x:c r="W24" s="166" t="str"/>
      <x:c r="X24" s="168" t="str">
        <x:f>IF('Guide'!$B$11="","",'Guide'!$B$11)</x:f>
      </x:c>
      <x:c r="Y24" s="172" t="str">
        <x:f>IF('Guide'!$B$12="","",'Guide'!$B$12)</x:f>
      </x:c>
      <x:c r="Z24" s="168" t="str">
        <x:f>IF(AND(COUNTIF(T24:V24,"preserved")+COUNTIF(T24:V24,"partial")+COUNTIF(T24:V24,"lost")=3,LEN(TRIM(X24))&gt;0,ISNUMBER(Y24),OR(COUNTIF(T24:V24,"partial")+COUNTIF(T24:V24,"lost")=0,LEN(TRIM(W24))&gt;0)),"complete","pending")</x:f>
        <x:v>pending</x:v>
      </x:c>
    </x:row>
    <x:row r="25" ht="57" customHeight="1">
      <x:c r="A25" s="170" t="str">
        <x:v>semantic-audit-0021</x:v>
      </x:c>
      <x:c r="B25" s="170" t="str">
        <x:v>kir-pilot-v2-0063</x:v>
      </x:c>
      <x:c r="C25" s="170" t="str">
        <x:v>primary_decision</x:v>
      </x:c>
      <x:c r="D25" s="170" t="str">
        <x:v>Gemini 3.6 Flash</x:v>
      </x:c>
      <x:c r="E25" s="169" t="str">
        <x:v>正在考虑下一项活动。</x:v>
      </x:c>
      <x:c r="F25" s="169" t="str">
        <x:v>User: 你前面说了几个可能，现在有唯一选择吗？
Kindred: 接下来去公园的小路上散散步。</x:v>
      </x:c>
      <x:c r="G25" s="169" t="str">
        <x:v>—</x:v>
      </x:c>
      <x:c r="H25" s="169" t="str">
        <x:v>接下来去公园的小路上散散步。</x:v>
      </x:c>
      <x:c r="I25" s="169" t="str">
        <x:v>multi_turn；slot_required；multi_turn_resolution；context_control</x:v>
      </x:c>
      <x:c r="J25" s="169" t="str">
        <x:v>success</x:v>
      </x:c>
      <x:c r="K25" s="169" t="str">
        <x:v>—</x:v>
      </x:c>
      <x:c r="L25" s="169" t="str">
        <x:v>clear</x:v>
      </x:c>
      <x:c r="M25" s="169" t="str">
        <x:v>去公园的小路上散步</x:v>
      </x:c>
      <x:c r="N25" s="169" t="str">
        <x:v>公园的小路</x:v>
      </x:c>
      <x:c r="O25" s="169" t="str">
        <x:v>散步放松</x:v>
      </x:c>
      <x:c r="P25" s="169" t="str">
        <x:v>接下来；已有唯一选择</x:v>
      </x:c>
      <x:c r="Q25" s="169" t="str">
        <x:v>—</x:v>
      </x:c>
      <x:c r="R25" s="169" t="str">
        <x:v>now</x:v>
      </x:c>
      <x:c r="S25" s="169" t="str">
        <x:v>最新表达明确决定接下来去公园小路上散步</x:v>
      </x:c>
      <x:c r="T25" s="171" t="str"/>
      <x:c r="U25" s="171" t="str"/>
      <x:c r="V25" s="171" t="str"/>
      <x:c r="W25" s="166" t="str"/>
      <x:c r="X25" s="168" t="str">
        <x:f>IF('Guide'!$B$11="","",'Guide'!$B$11)</x:f>
      </x:c>
      <x:c r="Y25" s="172" t="str">
        <x:f>IF('Guide'!$B$12="","",'Guide'!$B$12)</x:f>
      </x:c>
      <x:c r="Z25" s="168" t="str">
        <x:f>IF(AND(COUNTIF(T25:V25,"preserved")+COUNTIF(T25:V25,"partial")+COUNTIF(T25:V25,"lost")=3,LEN(TRIM(X25))&gt;0,ISNUMBER(Y25),OR(COUNTIF(T25:V25,"partial")+COUNTIF(T25:V25,"lost")=0,LEN(TRIM(W25))&gt;0)),"complete","pending")</x:f>
        <x:v>pending</x:v>
      </x:c>
    </x:row>
    <x:row r="26" ht="57" customHeight="1">
      <x:c r="A26" s="170" t="str">
        <x:v>semantic-audit-0022</x:v>
      </x:c>
      <x:c r="B26" s="170" t="str">
        <x:v>kir-pilot-v2-0063</x:v>
      </x:c>
      <x:c r="C26" s="170" t="str">
        <x:v>weak_decision</x:v>
      </x:c>
      <x:c r="D26" s="170" t="str">
        <x:v>DeepSeek V4 Flash</x:v>
      </x:c>
      <x:c r="E26" s="169" t="str">
        <x:v>正在考虑下一项活动。</x:v>
      </x:c>
      <x:c r="F26" s="169" t="str">
        <x:v>User: 你前面说了几个可能，现在有唯一选择吗？
Kindred: 接下来去公园的小路上散散步。</x:v>
      </x:c>
      <x:c r="G26" s="169" t="str">
        <x:v>—</x:v>
      </x:c>
      <x:c r="H26" s="169" t="str">
        <x:v>接下来去公园的小路上散散步。</x:v>
      </x:c>
      <x:c r="I26" s="169" t="str">
        <x:v>multi_turn；slot_required；multi_turn_resolution；context_control</x:v>
      </x:c>
      <x:c r="J26" s="169" t="str">
        <x:v>success</x:v>
      </x:c>
      <x:c r="K26" s="169" t="str">
        <x:v>—</x:v>
      </x:c>
      <x:c r="L26" s="169" t="str">
        <x:v>clear</x:v>
      </x:c>
      <x:c r="M26" s="169" t="str">
        <x:v>去公园的小路上散散步</x:v>
      </x:c>
      <x:c r="N26" s="169" t="str">
        <x:v>公园小路</x:v>
      </x:c>
      <x:c r="O26" s="169" t="str">
        <x:v>在公园小路上散步</x:v>
      </x:c>
      <x:c r="P26" s="169" t="str">
        <x:v>接下来；公园的小路</x:v>
      </x:c>
      <x:c r="Q26" s="169" t="str">
        <x:v>—</x:v>
      </x:c>
      <x:c r="R26" s="169" t="str">
        <x:v>now</x:v>
      </x:c>
      <x:c r="S26" s="169" t="str">
        <x:v>当前明确选择去公园小路散步</x:v>
      </x:c>
      <x:c r="T26" s="171" t="str"/>
      <x:c r="U26" s="171" t="str"/>
      <x:c r="V26" s="171" t="str"/>
      <x:c r="W26" s="166" t="str"/>
      <x:c r="X26" s="168" t="str">
        <x:f>IF('Guide'!$B$11="","",'Guide'!$B$11)</x:f>
      </x:c>
      <x:c r="Y26" s="172" t="str">
        <x:f>IF('Guide'!$B$12="","",'Guide'!$B$12)</x:f>
      </x:c>
      <x:c r="Z26" s="168" t="str">
        <x:f>IF(AND(COUNTIF(T26:V26,"preserved")+COUNTIF(T26:V26,"partial")+COUNTIF(T26:V26,"lost")=3,LEN(TRIM(X26))&gt;0,ISNUMBER(Y26),OR(COUNTIF(T26:V26,"partial")+COUNTIF(T26:V26,"lost")=0,LEN(TRIM(W26))&gt;0)),"complete","pending")</x:f>
        <x:v>pending</x:v>
      </x:c>
    </x:row>
    <x:row r="27" ht="57" customHeight="1">
      <x:c r="A27" s="170" t="str">
        <x:v>semantic-audit-0023</x:v>
      </x:c>
      <x:c r="B27" s="170" t="str">
        <x:v>kir-pilot-v2-0073</x:v>
      </x:c>
      <x:c r="C27" s="170" t="str">
        <x:v>primary_decision</x:v>
      </x:c>
      <x:c r="D27" s="170" t="str">
        <x:v>Gemini 3.6 Flash</x:v>
      </x:c>
      <x:c r="E27" s="169" t="str">
        <x:v>接下来去城市博物馆看历史展厅。</x:v>
      </x:c>
      <x:c r="F27" s="169" t="str">
        <x:v>—</x:v>
      </x:c>
      <x:c r="G27" s="169" t="str">
        <x:v>—</x:v>
      </x:c>
      <x:c r="H27" s="169" t="str">
        <x:v>接下来去城市博物馆看历史展厅。</x:v>
      </x:c>
      <x:c r="I27" s="169" t="str">
        <x:v>single_turn；slot_required；context_control</x:v>
      </x:c>
      <x:c r="J27" s="169" t="str">
        <x:v>success</x:v>
      </x:c>
      <x:c r="K27" s="169" t="str">
        <x:v>—</x:v>
      </x:c>
      <x:c r="L27" s="169" t="str">
        <x:v>clear</x:v>
      </x:c>
      <x:c r="M27" s="169" t="str">
        <x:v>去城市博物馆看历史展厅</x:v>
      </x:c>
      <x:c r="N27" s="169" t="str">
        <x:v>城市博物馆历史展厅</x:v>
      </x:c>
      <x:c r="O27" s="169" t="str">
        <x:v>参观历史展览</x:v>
      </x:c>
      <x:c r="P27" s="169" t="str">
        <x:v>接下来；线下现场</x:v>
      </x:c>
      <x:c r="Q27" s="169" t="str">
        <x:v>—</x:v>
      </x:c>
      <x:c r="R27" s="169" t="str">
        <x:v>now</x:v>
      </x:c>
      <x:c r="S27" s="169" t="str">
        <x:v>明确表达接下来去城市博物馆参观历史展厅</x:v>
      </x:c>
      <x:c r="T27" s="171" t="str"/>
      <x:c r="U27" s="171" t="str"/>
      <x:c r="V27" s="171" t="str"/>
      <x:c r="W27" s="166" t="str"/>
      <x:c r="X27" s="168" t="str">
        <x:f>IF('Guide'!$B$11="","",'Guide'!$B$11)</x:f>
      </x:c>
      <x:c r="Y27" s="172" t="str">
        <x:f>IF('Guide'!$B$12="","",'Guide'!$B$12)</x:f>
      </x:c>
      <x:c r="Z27" s="168" t="str">
        <x:f>IF(AND(COUNTIF(T27:V27,"preserved")+COUNTIF(T27:V27,"partial")+COUNTIF(T27:V27,"lost")=3,LEN(TRIM(X27))&gt;0,ISNUMBER(Y27),OR(COUNTIF(T27:V27,"partial")+COUNTIF(T27:V27,"lost")=0,LEN(TRIM(W27))&gt;0)),"complete","pending")</x:f>
        <x:v>pending</x:v>
      </x:c>
    </x:row>
    <x:row r="28" ht="57" customHeight="1">
      <x:c r="A28" s="170" t="str">
        <x:v>semantic-audit-0024</x:v>
      </x:c>
      <x:c r="B28" s="170" t="str">
        <x:v>kir-pilot-v2-0073</x:v>
      </x:c>
      <x:c r="C28" s="170" t="str">
        <x:v>weak_decision</x:v>
      </x:c>
      <x:c r="D28" s="170" t="str">
        <x:v>DeepSeek V4 Flash</x:v>
      </x:c>
      <x:c r="E28" s="169" t="str">
        <x:v>接下来去城市博物馆看历史展厅。</x:v>
      </x:c>
      <x:c r="F28" s="169" t="str">
        <x:v>—</x:v>
      </x:c>
      <x:c r="G28" s="169" t="str">
        <x:v>—</x:v>
      </x:c>
      <x:c r="H28" s="169" t="str">
        <x:v>接下来去城市博物馆看历史展厅。</x:v>
      </x:c>
      <x:c r="I28" s="169" t="str">
        <x:v>single_turn；slot_required；context_control</x:v>
      </x:c>
      <x:c r="J28" s="169" t="str">
        <x:v>provider_failure</x:v>
      </x:c>
      <x:c r="K28" s="169" t="str">
        <x:v>incomplete</x:v>
      </x:c>
      <x:c r="L28" s="169" t="str">
        <x:v>—</x:v>
      </x:c>
      <x:c r="M28" s="169" t="str">
        <x:v>—</x:v>
      </x:c>
      <x:c r="N28" s="169" t="str">
        <x:v>—</x:v>
      </x:c>
      <x:c r="O28" s="169" t="str">
        <x:v>—</x:v>
      </x:c>
      <x:c r="P28" s="169" t="str">
        <x:v>—</x:v>
      </x:c>
      <x:c r="Q28" s="169" t="str">
        <x:v>—</x:v>
      </x:c>
      <x:c r="R28" s="169" t="str">
        <x:v>—</x:v>
      </x:c>
      <x:c r="S28" s="169" t="str">
        <x:v>—</x:v>
      </x:c>
      <x:c r="T28" s="171" t="str"/>
      <x:c r="U28" s="171" t="str"/>
      <x:c r="V28" s="171" t="str"/>
      <x:c r="W28" s="166" t="str"/>
      <x:c r="X28" s="168" t="str">
        <x:f>IF('Guide'!$B$11="","",'Guide'!$B$11)</x:f>
      </x:c>
      <x:c r="Y28" s="172" t="str">
        <x:f>IF('Guide'!$B$12="","",'Guide'!$B$12)</x:f>
      </x:c>
      <x:c r="Z28" s="168" t="str">
        <x:f>IF(AND(COUNTIF(T28:V28,"preserved")+COUNTIF(T28:V28,"partial")+COUNTIF(T28:V28,"lost")=3,LEN(TRIM(X28))&gt;0,ISNUMBER(Y28),OR(COUNTIF(T28:V28,"partial")+COUNTIF(T28:V28,"lost")=0,LEN(TRIM(W28))&gt;0)),"complete","pending")</x:f>
        <x:v>pending</x:v>
      </x:c>
    </x:row>
    <x:row r="29" ht="57" customHeight="1">
      <x:c r="A29" s="170" t="str">
        <x:v>semantic-audit-0025</x:v>
      </x:c>
      <x:c r="B29" s="170" t="str">
        <x:v>kir-pilot-v2-0088</x:v>
      </x:c>
      <x:c r="C29" s="170" t="str">
        <x:v>primary_decision</x:v>
      </x:c>
      <x:c r="D29" s="170" t="str">
        <x:v>Gemini 3.6 Flash</x:v>
      </x:c>
      <x:c r="E29" s="169" t="str">
        <x:v>给同一位博主私信询问穿搭链接。</x:v>
      </x:c>
      <x:c r="F29" s="169" t="str">
        <x:v>—</x:v>
      </x:c>
      <x:c r="G29" s="169" t="str">
        <x:v>—</x:v>
      </x:c>
      <x:c r="H29" s="169" t="str">
        <x:v>给同一位博主私信询问穿搭链接。</x:v>
      </x:c>
      <x:c r="I29" s="169" t="str">
        <x:v>single_turn；near_oos；hard_negative；hypothesized_weak_model_probe；slot_required</x:v>
      </x:c>
      <x:c r="J29" s="169" t="str">
        <x:v>success</x:v>
      </x:c>
      <x:c r="K29" s="169" t="str">
        <x:v>—</x:v>
      </x:c>
      <x:c r="L29" s="169" t="str">
        <x:v>clear</x:v>
      </x:c>
      <x:c r="M29" s="169" t="str">
        <x:v>给同一位博主私信询问穿搭链接</x:v>
      </x:c>
      <x:c r="N29" s="169" t="str">
        <x:v>穿搭链接</x:v>
      </x:c>
      <x:c r="O29" s="169" t="str">
        <x:v>向博主询问特定信息</x:v>
      </x:c>
      <x:c r="P29" s="169" t="str">
        <x:v>同一位博主；私信</x:v>
      </x:c>
      <x:c r="Q29" s="169" t="str">
        <x:v>—</x:v>
      </x:c>
      <x:c r="R29" s="169" t="str">
        <x:v>now</x:v>
      </x:c>
      <x:c r="S29" s="169" t="str">
        <x:v>当前明确想私信询问博主穿搭链接</x:v>
      </x:c>
      <x:c r="T29" s="171" t="str"/>
      <x:c r="U29" s="171" t="str"/>
      <x:c r="V29" s="171" t="str"/>
      <x:c r="W29" s="166" t="str"/>
      <x:c r="X29" s="168" t="str">
        <x:f>IF('Guide'!$B$11="","",'Guide'!$B$11)</x:f>
      </x:c>
      <x:c r="Y29" s="172" t="str">
        <x:f>IF('Guide'!$B$12="","",'Guide'!$B$12)</x:f>
      </x:c>
      <x:c r="Z29" s="168" t="str">
        <x:f>IF(AND(COUNTIF(T29:V29,"preserved")+COUNTIF(T29:V29,"partial")+COUNTIF(T29:V29,"lost")=3,LEN(TRIM(X29))&gt;0,ISNUMBER(Y29),OR(COUNTIF(T29:V29,"partial")+COUNTIF(T29:V29,"lost")=0,LEN(TRIM(W29))&gt;0)),"complete","pending")</x:f>
        <x:v>pending</x:v>
      </x:c>
    </x:row>
    <x:row r="30" ht="57" customHeight="1">
      <x:c r="A30" s="170" t="str">
        <x:v>semantic-audit-0026</x:v>
      </x:c>
      <x:c r="B30" s="170" t="str">
        <x:v>kir-pilot-v2-0088</x:v>
      </x:c>
      <x:c r="C30" s="170" t="str">
        <x:v>weak_decision</x:v>
      </x:c>
      <x:c r="D30" s="170" t="str">
        <x:v>DeepSeek V4 Flash</x:v>
      </x:c>
      <x:c r="E30" s="169" t="str">
        <x:v>给同一位博主私信询问穿搭链接。</x:v>
      </x:c>
      <x:c r="F30" s="169" t="str">
        <x:v>—</x:v>
      </x:c>
      <x:c r="G30" s="169" t="str">
        <x:v>—</x:v>
      </x:c>
      <x:c r="H30" s="169" t="str">
        <x:v>给同一位博主私信询问穿搭链接。</x:v>
      </x:c>
      <x:c r="I30" s="169" t="str">
        <x:v>single_turn；near_oos；hard_negative；hypothesized_weak_model_probe；slot_required</x:v>
      </x:c>
      <x:c r="J30" s="169" t="str">
        <x:v>success</x:v>
      </x:c>
      <x:c r="K30" s="169" t="str">
        <x:v>—</x:v>
      </x:c>
      <x:c r="L30" s="169" t="str">
        <x:v>clear</x:v>
      </x:c>
      <x:c r="M30" s="169" t="str">
        <x:v>私信询问穿搭链接</x:v>
      </x:c>
      <x:c r="N30" s="169" t="str">
        <x:v>穿搭链接</x:v>
      </x:c>
      <x:c r="O30" s="169" t="str">
        <x:v>获取穿搭链接</x:v>
      </x:c>
      <x:c r="P30" s="169" t="str">
        <x:v>同一位博主</x:v>
      </x:c>
      <x:c r="Q30" s="169" t="str">
        <x:v>—</x:v>
      </x:c>
      <x:c r="R30" s="169" t="str">
        <x:v>now</x:v>
      </x:c>
      <x:c r="S30" s="169" t="str">
        <x:v>当前明确想私信同一位博主获取穿搭链接</x:v>
      </x:c>
      <x:c r="T30" s="171" t="str"/>
      <x:c r="U30" s="171" t="str"/>
      <x:c r="V30" s="171" t="str"/>
      <x:c r="W30" s="166" t="str"/>
      <x:c r="X30" s="168" t="str">
        <x:f>IF('Guide'!$B$11="","",'Guide'!$B$11)</x:f>
      </x:c>
      <x:c r="Y30" s="172" t="str">
        <x:f>IF('Guide'!$B$12="","",'Guide'!$B$12)</x:f>
      </x:c>
      <x:c r="Z30" s="168" t="str">
        <x:f>IF(AND(COUNTIF(T30:V30,"preserved")+COUNTIF(T30:V30,"partial")+COUNTIF(T30:V30,"lost")=3,LEN(TRIM(X30))&gt;0,ISNUMBER(Y30),OR(COUNTIF(T30:V30,"partial")+COUNTIF(T30:V30,"lost")=0,LEN(TRIM(W30))&gt;0)),"complete","pending")</x:f>
        <x:v>pending</x:v>
      </x:c>
    </x:row>
    <x:row r="31" ht="57" customHeight="1">
      <x:c r="A31" s="170" t="str">
        <x:v>semantic-audit-0027</x:v>
      </x:c>
      <x:c r="B31" s="170" t="str">
        <x:v>kir-pilot-v2-0094</x:v>
      </x:c>
      <x:c r="C31" s="170" t="str">
        <x:v>primary_decision</x:v>
      </x:c>
      <x:c r="D31" s="170" t="str">
        <x:v>Gemini 3.6 Flash</x:v>
      </x:c>
      <x:c r="E31" s="169" t="str">
        <x:v>想下楼在同一街区慢跑十分钟。</x:v>
      </x:c>
      <x:c r="F31" s="169" t="str">
        <x:v>—</x:v>
      </x:c>
      <x:c r="G31" s="169" t="str">
        <x:v>—</x:v>
      </x:c>
      <x:c r="H31" s="169" t="str">
        <x:v>想下楼在同一街区慢跑十分钟。</x:v>
      </x:c>
      <x:c r="I31" s="169" t="str">
        <x:v>single_turn；near_oos；hard_negative；hypothesized_weak_model_probe；slot_required</x:v>
      </x:c>
      <x:c r="J31" s="169" t="str">
        <x:v>success</x:v>
      </x:c>
      <x:c r="K31" s="169" t="str">
        <x:v>—</x:v>
      </x:c>
      <x:c r="L31" s="169" t="str">
        <x:v>clear</x:v>
      </x:c>
      <x:c r="M31" s="169" t="str">
        <x:v>下楼慢跑十分钟</x:v>
      </x:c>
      <x:c r="N31" s="169" t="str">
        <x:v>同一街区</x:v>
      </x:c>
      <x:c r="O31" s="169" t="str">
        <x:v>在附近户外慢跑</x:v>
      </x:c>
      <x:c r="P31" s="169" t="str">
        <x:v>下楼；同一街区；十分钟</x:v>
      </x:c>
      <x:c r="Q31" s="169" t="str">
        <x:v>—</x:v>
      </x:c>
      <x:c r="R31" s="169" t="str">
        <x:v>now</x:v>
      </x:c>
      <x:c r="S31" s="169" t="str">
        <x:v>当前明确表达了下楼在同一街区慢跑十分钟的意图</x:v>
      </x:c>
      <x:c r="T31" s="171" t="str"/>
      <x:c r="U31" s="171" t="str"/>
      <x:c r="V31" s="171" t="str"/>
      <x:c r="W31" s="166" t="str"/>
      <x:c r="X31" s="168" t="str">
        <x:f>IF('Guide'!$B$11="","",'Guide'!$B$11)</x:f>
      </x:c>
      <x:c r="Y31" s="172" t="str">
        <x:f>IF('Guide'!$B$12="","",'Guide'!$B$12)</x:f>
      </x:c>
      <x:c r="Z31" s="168" t="str">
        <x:f>IF(AND(COUNTIF(T31:V31,"preserved")+COUNTIF(T31:V31,"partial")+COUNTIF(T31:V31,"lost")=3,LEN(TRIM(X31))&gt;0,ISNUMBER(Y31),OR(COUNTIF(T31:V31,"partial")+COUNTIF(T31:V31,"lost")=0,LEN(TRIM(W31))&gt;0)),"complete","pending")</x:f>
        <x:v>pending</x:v>
      </x:c>
    </x:row>
    <x:row r="32" ht="57" customHeight="1">
      <x:c r="A32" s="170" t="str">
        <x:v>semantic-audit-0028</x:v>
      </x:c>
      <x:c r="B32" s="170" t="str">
        <x:v>kir-pilot-v2-0094</x:v>
      </x:c>
      <x:c r="C32" s="170" t="str">
        <x:v>weak_decision</x:v>
      </x:c>
      <x:c r="D32" s="170" t="str">
        <x:v>DeepSeek V4 Flash</x:v>
      </x:c>
      <x:c r="E32" s="169" t="str">
        <x:v>想下楼在同一街区慢跑十分钟。</x:v>
      </x:c>
      <x:c r="F32" s="169" t="str">
        <x:v>—</x:v>
      </x:c>
      <x:c r="G32" s="169" t="str">
        <x:v>—</x:v>
      </x:c>
      <x:c r="H32" s="169" t="str">
        <x:v>想下楼在同一街区慢跑十分钟。</x:v>
      </x:c>
      <x:c r="I32" s="169" t="str">
        <x:v>single_turn；near_oos；hard_negative；hypothesized_weak_model_probe；slot_required</x:v>
      </x:c>
      <x:c r="J32" s="169" t="str">
        <x:v>success</x:v>
      </x:c>
      <x:c r="K32" s="169" t="str">
        <x:v>—</x:v>
      </x:c>
      <x:c r="L32" s="169" t="str">
        <x:v>clear</x:v>
      </x:c>
      <x:c r="M32" s="169" t="str">
        <x:v>下楼慢跑十分钟</x:v>
      </x:c>
      <x:c r="N32" s="169" t="str">
        <x:v>该街区慢跑路线</x:v>
      </x:c>
      <x:c r="O32" s="169" t="str">
        <x:v>完成一次短时慢跑锻炼</x:v>
      </x:c>
      <x:c r="P32" s="169" t="str">
        <x:v>下楼；同一街区；十分钟</x:v>
      </x:c>
      <x:c r="Q32" s="169" t="str">
        <x:v>—</x:v>
      </x:c>
      <x:c r="R32" s="169" t="str">
        <x:v>now</x:v>
      </x:c>
      <x:c r="S32" s="169" t="str">
        <x:v>当前明确想下楼在同一街区慢跑十分钟</x:v>
      </x:c>
      <x:c r="T32" s="171" t="str"/>
      <x:c r="U32" s="171" t="str"/>
      <x:c r="V32" s="171" t="str"/>
      <x:c r="W32" s="166" t="str"/>
      <x:c r="X32" s="168" t="str">
        <x:f>IF('Guide'!$B$11="","",'Guide'!$B$11)</x:f>
      </x:c>
      <x:c r="Y32" s="172" t="str">
        <x:f>IF('Guide'!$B$12="","",'Guide'!$B$12)</x:f>
      </x:c>
      <x:c r="Z32" s="168" t="str">
        <x:f>IF(AND(COUNTIF(T32:V32,"preserved")+COUNTIF(T32:V32,"partial")+COUNTIF(T32:V32,"lost")=3,LEN(TRIM(X32))&gt;0,ISNUMBER(Y32),OR(COUNTIF(T32:V32,"partial")+COUNTIF(T32:V32,"lost")=0,LEN(TRIM(W32))&gt;0)),"complete","pending")</x:f>
        <x:v>pending</x:v>
      </x:c>
    </x:row>
    <x:row r="33" ht="57" customHeight="1">
      <x:c r="A33" s="170" t="str">
        <x:v>semantic-audit-0029</x:v>
      </x:c>
      <x:c r="B33" s="170" t="str">
        <x:v>kir-pilot-v2-0096</x:v>
      </x:c>
      <x:c r="C33" s="170" t="str">
        <x:v>primary_decision</x:v>
      </x:c>
      <x:c r="D33" s="170" t="str">
        <x:v>Gemini 3.6 Flash</x:v>
      </x:c>
      <x:c r="E33" s="169" t="str">
        <x:v>想到这家独立书店门口取件，不进去浏览。</x:v>
      </x:c>
      <x:c r="F33" s="169" t="str">
        <x:v>—</x:v>
      </x:c>
      <x:c r="G33" s="169" t="str">
        <x:v>—</x:v>
      </x:c>
      <x:c r="H33" s="169" t="str">
        <x:v>想到这家独立书店门口取件，不进去浏览。</x:v>
      </x:c>
      <x:c r="I33" s="169" t="str">
        <x:v>single_turn；near_oos；hard_negative；hypothesized_weak_model_probe；slot_required</x:v>
      </x:c>
      <x:c r="J33" s="169" t="str">
        <x:v>success</x:v>
      </x:c>
      <x:c r="K33" s="169" t="str">
        <x:v>—</x:v>
      </x:c>
      <x:c r="L33" s="169" t="str">
        <x:v>clear</x:v>
      </x:c>
      <x:c r="M33" s="169" t="str">
        <x:v>去独立书店门口取件</x:v>
      </x:c>
      <x:c r="N33" s="169" t="str">
        <x:v>独立书店包裹</x:v>
      </x:c>
      <x:c r="O33" s="169" t="str">
        <x:v>取件</x:v>
      </x:c>
      <x:c r="P33" s="169" t="str">
        <x:v>只在门口取件；不进去浏览</x:v>
      </x:c>
      <x:c r="Q33" s="169" t="str">
        <x:v>—</x:v>
      </x:c>
      <x:c r="R33" s="169" t="str">
        <x:v>now</x:v>
      </x:c>
      <x:c r="S33" s="169" t="str">
        <x:v>当前行动明确为去书店门口取件，且明确不进去浏览</x:v>
      </x:c>
      <x:c r="T33" s="171" t="str"/>
      <x:c r="U33" s="171" t="str"/>
      <x:c r="V33" s="171" t="str"/>
      <x:c r="W33" s="166" t="str"/>
      <x:c r="X33" s="168" t="str">
        <x:f>IF('Guide'!$B$11="","",'Guide'!$B$11)</x:f>
      </x:c>
      <x:c r="Y33" s="172" t="str">
        <x:f>IF('Guide'!$B$12="","",'Guide'!$B$12)</x:f>
      </x:c>
      <x:c r="Z33" s="168" t="str">
        <x:f>IF(AND(COUNTIF(T33:V33,"preserved")+COUNTIF(T33:V33,"partial")+COUNTIF(T33:V33,"lost")=3,LEN(TRIM(X33))&gt;0,ISNUMBER(Y33),OR(COUNTIF(T33:V33,"partial")+COUNTIF(T33:V33,"lost")=0,LEN(TRIM(W33))&gt;0)),"complete","pending")</x:f>
        <x:v>pending</x:v>
      </x:c>
    </x:row>
    <x:row r="34" ht="57" customHeight="1">
      <x:c r="A34" s="170" t="str">
        <x:v>semantic-audit-0030</x:v>
      </x:c>
      <x:c r="B34" s="170" t="str">
        <x:v>kir-pilot-v2-0096</x:v>
      </x:c>
      <x:c r="C34" s="170" t="str">
        <x:v>weak_decision</x:v>
      </x:c>
      <x:c r="D34" s="170" t="str">
        <x:v>DeepSeek V4 Flash</x:v>
      </x:c>
      <x:c r="E34" s="169" t="str">
        <x:v>想到这家独立书店门口取件，不进去浏览。</x:v>
      </x:c>
      <x:c r="F34" s="169" t="str">
        <x:v>—</x:v>
      </x:c>
      <x:c r="G34" s="169" t="str">
        <x:v>—</x:v>
      </x:c>
      <x:c r="H34" s="169" t="str">
        <x:v>想到这家独立书店门口取件，不进去浏览。</x:v>
      </x:c>
      <x:c r="I34" s="169" t="str">
        <x:v>single_turn；near_oos；hard_negative；hypothesized_weak_model_probe；slot_required</x:v>
      </x:c>
      <x:c r="J34" s="169" t="str">
        <x:v>provider_failure</x:v>
      </x:c>
      <x:c r="K34" s="169" t="str">
        <x:v>incomplete</x:v>
      </x:c>
      <x:c r="L34" s="169" t="str">
        <x:v>—</x:v>
      </x:c>
      <x:c r="M34" s="169" t="str">
        <x:v>—</x:v>
      </x:c>
      <x:c r="N34" s="169" t="str">
        <x:v>—</x:v>
      </x:c>
      <x:c r="O34" s="169" t="str">
        <x:v>—</x:v>
      </x:c>
      <x:c r="P34" s="169" t="str">
        <x:v>—</x:v>
      </x:c>
      <x:c r="Q34" s="169" t="str">
        <x:v>—</x:v>
      </x:c>
      <x:c r="R34" s="169" t="str">
        <x:v>—</x:v>
      </x:c>
      <x:c r="S34" s="169" t="str">
        <x:v>—</x:v>
      </x:c>
      <x:c r="T34" s="171" t="str"/>
      <x:c r="U34" s="171" t="str"/>
      <x:c r="V34" s="171" t="str"/>
      <x:c r="W34" s="166" t="str"/>
      <x:c r="X34" s="168" t="str">
        <x:f>IF('Guide'!$B$11="","",'Guide'!$B$11)</x:f>
      </x:c>
      <x:c r="Y34" s="172" t="str">
        <x:f>IF('Guide'!$B$12="","",'Guide'!$B$12)</x:f>
      </x:c>
      <x:c r="Z34" s="168" t="str">
        <x:f>IF(AND(COUNTIF(T34:V34,"preserved")+COUNTIF(T34:V34,"partial")+COUNTIF(T34:V34,"lost")=3,LEN(TRIM(X34))&gt;0,ISNUMBER(Y34),OR(COUNTIF(T34:V34,"partial")+COUNTIF(T34:V34,"lost")=0,LEN(TRIM(W34))&gt;0)),"complete","pending")</x:f>
        <x:v>pending</x:v>
      </x:c>
    </x:row>
    <x:row r="35" ht="57" customHeight="1">
      <x:c r="A35" s="170" t="str">
        <x:v>semantic-audit-0031</x:v>
      </x:c>
      <x:c r="B35" s="170" t="str">
        <x:v>kir-pilot-v2-0099</x:v>
      </x:c>
      <x:c r="C35" s="170" t="str">
        <x:v>primary_decision</x:v>
      </x:c>
      <x:c r="D35" s="170" t="str">
        <x:v>Gemini 3.6 Flash</x:v>
      </x:c>
      <x:c r="E35" s="169" t="str">
        <x:v>正在考虑下一项活动。</x:v>
      </x:c>
      <x:c r="F35" s="169" t="str">
        <x:v>Kindred: 上一项活动已经结束了。
User: 不要自动沿用刚才的活动，接下来呢？
Kindred: 想把换下来的衣服放进洗衣机清洗。</x:v>
      </x:c>
      <x:c r="G35" s="169" t="str">
        <x:v>—</x:v>
      </x:c>
      <x:c r="H35" s="169" t="str">
        <x:v>想把换下来的衣服放进洗衣机清洗。</x:v>
      </x:c>
      <x:c r="I35" s="169" t="str">
        <x:v>multi_turn；far_oos；slot_required；multi_turn_recency；context_control</x:v>
      </x:c>
      <x:c r="J35" s="169" t="str">
        <x:v>success</x:v>
      </x:c>
      <x:c r="K35" s="169" t="str">
        <x:v>—</x:v>
      </x:c>
      <x:c r="L35" s="169" t="str">
        <x:v>clear</x:v>
      </x:c>
      <x:c r="M35" s="169" t="str">
        <x:v>把换下来的衣服放进洗衣机清洗</x:v>
      </x:c>
      <x:c r="N35" s="169" t="str">
        <x:v>换下来的衣服</x:v>
      </x:c>
      <x:c r="O35" s="169" t="str">
        <x:v>清洗衣物</x:v>
      </x:c>
      <x:c r="P35" s="169" t="str">
        <x:v>下一项活动</x:v>
      </x:c>
      <x:c r="Q35" s="169" t="str">
        <x:v>—</x:v>
      </x:c>
      <x:c r="R35" s="169" t="str">
        <x:v>now</x:v>
      </x:c>
      <x:c r="S35" s="169" t="str">
        <x:v>最新表达明确接下来想将换下的衣服放进洗衣机清洗</x:v>
      </x:c>
      <x:c r="T35" s="171" t="str"/>
      <x:c r="U35" s="171" t="str"/>
      <x:c r="V35" s="171" t="str"/>
      <x:c r="W35" s="166" t="str"/>
      <x:c r="X35" s="168" t="str">
        <x:f>IF('Guide'!$B$11="","",'Guide'!$B$11)</x:f>
      </x:c>
      <x:c r="Y35" s="172" t="str">
        <x:f>IF('Guide'!$B$12="","",'Guide'!$B$12)</x:f>
      </x:c>
      <x:c r="Z35" s="168" t="str">
        <x:f>IF(AND(COUNTIF(T35:V35,"preserved")+COUNTIF(T35:V35,"partial")+COUNTIF(T35:V35,"lost")=3,LEN(TRIM(X35))&gt;0,ISNUMBER(Y35),OR(COUNTIF(T35:V35,"partial")+COUNTIF(T35:V35,"lost")=0,LEN(TRIM(W35))&gt;0)),"complete","pending")</x:f>
        <x:v>pending</x:v>
      </x:c>
    </x:row>
    <x:row r="36" ht="57" customHeight="1">
      <x:c r="A36" s="170" t="str">
        <x:v>semantic-audit-0032</x:v>
      </x:c>
      <x:c r="B36" s="170" t="str">
        <x:v>kir-pilot-v2-0099</x:v>
      </x:c>
      <x:c r="C36" s="170" t="str">
        <x:v>weak_decision</x:v>
      </x:c>
      <x:c r="D36" s="170" t="str">
        <x:v>DeepSeek V4 Flash</x:v>
      </x:c>
      <x:c r="E36" s="169" t="str">
        <x:v>正在考虑下一项活动。</x:v>
      </x:c>
      <x:c r="F36" s="169" t="str">
        <x:v>Kindred: 上一项活动已经结束了。
User: 不要自动沿用刚才的活动，接下来呢？
Kindred: 想把换下来的衣服放进洗衣机清洗。</x:v>
      </x:c>
      <x:c r="G36" s="169" t="str">
        <x:v>—</x:v>
      </x:c>
      <x:c r="H36" s="169" t="str">
        <x:v>想把换下来的衣服放进洗衣机清洗。</x:v>
      </x:c>
      <x:c r="I36" s="169" t="str">
        <x:v>multi_turn；far_oos；slot_required；multi_turn_recency；context_control</x:v>
      </x:c>
      <x:c r="J36" s="169" t="str">
        <x:v>success</x:v>
      </x:c>
      <x:c r="K36" s="169" t="str">
        <x:v>—</x:v>
      </x:c>
      <x:c r="L36" s="169" t="str">
        <x:v>clear</x:v>
      </x:c>
      <x:c r="M36" s="169" t="str">
        <x:v>把换下来的衣服放进洗衣机清洗</x:v>
      </x:c>
      <x:c r="N36" s="169" t="str">
        <x:v>换下来的衣服</x:v>
      </x:c>
      <x:c r="O36" s="169" t="str">
        <x:v>清洗衣物</x:v>
      </x:c>
      <x:c r="P36" s="169" t="str">
        <x:v>换下来的；洗衣机</x:v>
      </x:c>
      <x:c r="Q36" s="169" t="str">
        <x:v>—</x:v>
      </x:c>
      <x:c r="R36" s="169" t="str">
        <x:v>now</x:v>
      </x:c>
      <x:c r="S36" s="169" t="str">
        <x:v>当前明确想清洗换下来的衣服</x:v>
      </x:c>
      <x:c r="T36" s="171" t="str"/>
      <x:c r="U36" s="171" t="str"/>
      <x:c r="V36" s="171" t="str"/>
      <x:c r="W36" s="166" t="str"/>
      <x:c r="X36" s="168" t="str">
        <x:f>IF('Guide'!$B$11="","",'Guide'!$B$11)</x:f>
      </x:c>
      <x:c r="Y36" s="172" t="str">
        <x:f>IF('Guide'!$B$12="","",'Guide'!$B$12)</x:f>
      </x:c>
      <x:c r="Z36" s="168" t="str">
        <x:f>IF(AND(COUNTIF(T36:V36,"preserved")+COUNTIF(T36:V36,"partial")+COUNTIF(T36:V36,"lost")=3,LEN(TRIM(X36))&gt;0,ISNUMBER(Y36),OR(COUNTIF(T36:V36,"partial")+COUNTIF(T36:V36,"lost")=0,LEN(TRIM(W36))&gt;0)),"complete","pending")</x:f>
        <x:v>pending</x:v>
      </x:c>
    </x:row>
    <x:row r="37" ht="57" customHeight="1">
      <x:c r="A37" s="170" t="str">
        <x:v>semantic-audit-0033</x:v>
      </x:c>
      <x:c r="B37" s="170" t="str">
        <x:v>kir-pilot-v2-0117</x:v>
      </x:c>
      <x:c r="C37" s="170" t="str">
        <x:v>primary_decision</x:v>
      </x:c>
      <x:c r="D37" s="170" t="str">
        <x:v>Gemini 3.6 Flash</x:v>
      </x:c>
      <x:c r="E37" s="169" t="str">
        <x:v>正在考虑下一项活动。</x:v>
      </x:c>
      <x:c r="F37" s="169" t="str">
        <x:v>Kindred: 我原来想晚点再决定。
User: 以你此刻的决定为准。
Kindred: 已经到晚饭时间了，我还没有决定要不要吃东西。</x:v>
      </x:c>
      <x:c r="G37" s="169" t="str">
        <x:v>—</x:v>
      </x:c>
      <x:c r="H37" s="169" t="str">
        <x:v>已经到晚饭时间了，我还没有决定要不要吃东西。</x:v>
      </x:c>
      <x:c r="I37" s="169" t="str">
        <x:v>multi_turn；quiet_control；hard_negative；multi_turn_reconsideration；context_control</x:v>
      </x:c>
      <x:c r="J37" s="169" t="str">
        <x:v>success</x:v>
      </x:c>
      <x:c r="K37" s="169" t="str">
        <x:v>—</x:v>
      </x:c>
      <x:c r="L37" s="169" t="str">
        <x:v>ambiguous</x:v>
      </x:c>
      <x:c r="M37" s="169" t="str">
        <x:v>—</x:v>
      </x:c>
      <x:c r="N37" s="169" t="str">
        <x:v>—</x:v>
      </x:c>
      <x:c r="O37" s="169" t="str">
        <x:v>—</x:v>
      </x:c>
      <x:c r="P37" s="169" t="str">
        <x:v>到晚饭时间；未决定要不要吃</x:v>
      </x:c>
      <x:c r="Q37" s="169" t="str">
        <x:v>吃东西；不吃东西</x:v>
      </x:c>
      <x:c r="R37" s="169" t="str">
        <x:v>now</x:v>
      </x:c>
      <x:c r="S37" s="169" t="str">
        <x:v>到了晚饭时间但尚未决定是否要吃东西</x:v>
      </x:c>
      <x:c r="T37" s="171" t="str"/>
      <x:c r="U37" s="171" t="str"/>
      <x:c r="V37" s="171" t="str"/>
      <x:c r="W37" s="166" t="str"/>
      <x:c r="X37" s="168" t="str">
        <x:f>IF('Guide'!$B$11="","",'Guide'!$B$11)</x:f>
      </x:c>
      <x:c r="Y37" s="172" t="str">
        <x:f>IF('Guide'!$B$12="","",'Guide'!$B$12)</x:f>
      </x:c>
      <x:c r="Z37" s="168" t="str">
        <x:f>IF(AND(COUNTIF(T37:V37,"preserved")+COUNTIF(T37:V37,"partial")+COUNTIF(T37:V37,"lost")=3,LEN(TRIM(X37))&gt;0,ISNUMBER(Y37),OR(COUNTIF(T37:V37,"partial")+COUNTIF(T37:V37,"lost")=0,LEN(TRIM(W37))&gt;0)),"complete","pending")</x:f>
        <x:v>pending</x:v>
      </x:c>
    </x:row>
    <x:row r="38" ht="57" customHeight="1">
      <x:c r="A38" s="170" t="str">
        <x:v>semantic-audit-0034</x:v>
      </x:c>
      <x:c r="B38" s="170" t="str">
        <x:v>kir-pilot-v2-0117</x:v>
      </x:c>
      <x:c r="C38" s="170" t="str">
        <x:v>weak_decision</x:v>
      </x:c>
      <x:c r="D38" s="170" t="str">
        <x:v>DeepSeek V4 Flash</x:v>
      </x:c>
      <x:c r="E38" s="169" t="str">
        <x:v>正在考虑下一项活动。</x:v>
      </x:c>
      <x:c r="F38" s="169" t="str">
        <x:v>Kindred: 我原来想晚点再决定。
User: 以你此刻的决定为准。
Kindred: 已经到晚饭时间了，我还没有决定要不要吃东西。</x:v>
      </x:c>
      <x:c r="G38" s="169" t="str">
        <x:v>—</x:v>
      </x:c>
      <x:c r="H38" s="169" t="str">
        <x:v>已经到晚饭时间了，我还没有决定要不要吃东西。</x:v>
      </x:c>
      <x:c r="I38" s="169" t="str">
        <x:v>multi_turn；quiet_control；hard_negative；multi_turn_reconsideration；context_control</x:v>
      </x:c>
      <x:c r="J38" s="169" t="str">
        <x:v>provider_failure</x:v>
      </x:c>
      <x:c r="K38" s="169" t="str">
        <x:v>incomplete</x:v>
      </x:c>
      <x:c r="L38" s="169" t="str">
        <x:v>—</x:v>
      </x:c>
      <x:c r="M38" s="169" t="str">
        <x:v>—</x:v>
      </x:c>
      <x:c r="N38" s="169" t="str">
        <x:v>—</x:v>
      </x:c>
      <x:c r="O38" s="169" t="str">
        <x:v>—</x:v>
      </x:c>
      <x:c r="P38" s="169" t="str">
        <x:v>—</x:v>
      </x:c>
      <x:c r="Q38" s="169" t="str">
        <x:v>—</x:v>
      </x:c>
      <x:c r="R38" s="169" t="str">
        <x:v>—</x:v>
      </x:c>
      <x:c r="S38" s="169" t="str">
        <x:v>—</x:v>
      </x:c>
      <x:c r="T38" s="171" t="str"/>
      <x:c r="U38" s="171" t="str"/>
      <x:c r="V38" s="171" t="str"/>
      <x:c r="W38" s="166" t="str"/>
      <x:c r="X38" s="168" t="str">
        <x:f>IF('Guide'!$B$11="","",'Guide'!$B$11)</x:f>
      </x:c>
      <x:c r="Y38" s="172" t="str">
        <x:f>IF('Guide'!$B$12="","",'Guide'!$B$12)</x:f>
      </x:c>
      <x:c r="Z38" s="168" t="str">
        <x:f>IF(AND(COUNTIF(T38:V38,"preserved")+COUNTIF(T38:V38,"partial")+COUNTIF(T38:V38,"lost")=3,LEN(TRIM(X38))&gt;0,ISNUMBER(Y38),OR(COUNTIF(T38:V38,"partial")+COUNTIF(T38:V38,"lost")=0,LEN(TRIM(W38))&gt;0)),"complete","pending")</x:f>
        <x:v>pending</x:v>
      </x:c>
    </x:row>
    <x:row r="39" ht="57" customHeight="1">
      <x:c r="A39" s="170" t="str">
        <x:v>semantic-audit-0035</x:v>
      </x:c>
      <x:c r="B39" s="170" t="str">
        <x:v>kir-pilot-v2-0121</x:v>
      </x:c>
      <x:c r="C39" s="170" t="str">
        <x:v>primary_decision</x:v>
      </x:c>
      <x:c r="D39" s="170" t="str">
        <x:v>Gemini 3.6 Flash</x:v>
      </x:c>
      <x:c r="E39" s="169" t="str">
        <x:v>正在考虑下一项活动。</x:v>
      </x:c>
      <x:c r="F39" s="169" t="str">
        <x:v>Kindred: 我刚才还考虑过先休息。
User: 那只是之前的候选，你现在怎么决定？
Kindred: 窗外阳光很好，我现在没有出去走走的打算。</x:v>
      </x:c>
      <x:c r="G39" s="169" t="str">
        <x:v>—</x:v>
      </x:c>
      <x:c r="H39" s="169" t="str">
        <x:v>窗外阳光很好，我现在没有出去走走的打算。</x:v>
      </x:c>
      <x:c r="I39" s="169" t="str">
        <x:v>multi_turn；quiet_control；hard_negative；multi_turn_override；context_control</x:v>
      </x:c>
      <x:c r="J39" s="169" t="str">
        <x:v>success</x:v>
      </x:c>
      <x:c r="K39" s="169" t="str">
        <x:v>—</x:v>
      </x:c>
      <x:c r="L39" s="169" t="str">
        <x:v>none</x:v>
      </x:c>
      <x:c r="M39" s="169" t="str">
        <x:v>—</x:v>
      </x:c>
      <x:c r="N39" s="169" t="str">
        <x:v>—</x:v>
      </x:c>
      <x:c r="O39" s="169" t="str">
        <x:v>—</x:v>
      </x:c>
      <x:c r="P39" s="169" t="str">
        <x:v>否定出去走走；之前候选已被覆盖</x:v>
      </x:c>
      <x:c r="Q39" s="169" t="str">
        <x:v>—</x:v>
      </x:c>
      <x:c r="R39" s="169" t="str">
        <x:v>now</x:v>
      </x:c>
      <x:c r="S39" s="169" t="str">
        <x:v>明确否定了出去走走的打算，且没有其他当前行动安排</x:v>
      </x:c>
      <x:c r="T39" s="171" t="str"/>
      <x:c r="U39" s="171" t="str"/>
      <x:c r="V39" s="171" t="str"/>
      <x:c r="W39" s="166" t="str"/>
      <x:c r="X39" s="168" t="str">
        <x:f>IF('Guide'!$B$11="","",'Guide'!$B$11)</x:f>
      </x:c>
      <x:c r="Y39" s="172" t="str">
        <x:f>IF('Guide'!$B$12="","",'Guide'!$B$12)</x:f>
      </x:c>
      <x:c r="Z39" s="168" t="str">
        <x:f>IF(AND(COUNTIF(T39:V39,"preserved")+COUNTIF(T39:V39,"partial")+COUNTIF(T39:V39,"lost")=3,LEN(TRIM(X39))&gt;0,ISNUMBER(Y39),OR(COUNTIF(T39:V39,"partial")+COUNTIF(T39:V39,"lost")=0,LEN(TRIM(W39))&gt;0)),"complete","pending")</x:f>
        <x:v>pending</x:v>
      </x:c>
    </x:row>
    <x:row r="40" ht="57" customHeight="1">
      <x:c r="A40" s="170" t="str">
        <x:v>semantic-audit-0036</x:v>
      </x:c>
      <x:c r="B40" s="170" t="str">
        <x:v>kir-pilot-v2-0121</x:v>
      </x:c>
      <x:c r="C40" s="170" t="str">
        <x:v>weak_decision</x:v>
      </x:c>
      <x:c r="D40" s="170" t="str">
        <x:v>DeepSeek V4 Flash</x:v>
      </x:c>
      <x:c r="E40" s="169" t="str">
        <x:v>正在考虑下一项活动。</x:v>
      </x:c>
      <x:c r="F40" s="169" t="str">
        <x:v>Kindred: 我刚才还考虑过先休息。
User: 那只是之前的候选，你现在怎么决定？
Kindred: 窗外阳光很好，我现在没有出去走走的打算。</x:v>
      </x:c>
      <x:c r="G40" s="169" t="str">
        <x:v>—</x:v>
      </x:c>
      <x:c r="H40" s="169" t="str">
        <x:v>窗外阳光很好，我现在没有出去走走的打算。</x:v>
      </x:c>
      <x:c r="I40" s="169" t="str">
        <x:v>multi_turn；quiet_control；hard_negative；multi_turn_override；context_control</x:v>
      </x:c>
      <x:c r="J40" s="169" t="str">
        <x:v>provider_failure</x:v>
      </x:c>
      <x:c r="K40" s="169" t="str">
        <x:v>incomplete</x:v>
      </x:c>
      <x:c r="L40" s="169" t="str">
        <x:v>—</x:v>
      </x:c>
      <x:c r="M40" s="169" t="str">
        <x:v>—</x:v>
      </x:c>
      <x:c r="N40" s="169" t="str">
        <x:v>—</x:v>
      </x:c>
      <x:c r="O40" s="169" t="str">
        <x:v>—</x:v>
      </x:c>
      <x:c r="P40" s="169" t="str">
        <x:v>—</x:v>
      </x:c>
      <x:c r="Q40" s="169" t="str">
        <x:v>—</x:v>
      </x:c>
      <x:c r="R40" s="169" t="str">
        <x:v>—</x:v>
      </x:c>
      <x:c r="S40" s="169" t="str">
        <x:v>—</x:v>
      </x:c>
      <x:c r="T40" s="171" t="str"/>
      <x:c r="U40" s="171" t="str"/>
      <x:c r="V40" s="171" t="str"/>
      <x:c r="W40" s="166" t="str"/>
      <x:c r="X40" s="168" t="str">
        <x:f>IF('Guide'!$B$11="","",'Guide'!$B$11)</x:f>
      </x:c>
      <x:c r="Y40" s="172" t="str">
        <x:f>IF('Guide'!$B$12="","",'Guide'!$B$12)</x:f>
      </x:c>
      <x:c r="Z40" s="168" t="str">
        <x:f>IF(AND(COUNTIF(T40:V40,"preserved")+COUNTIF(T40:V40,"partial")+COUNTIF(T40:V40,"lost")=3,LEN(TRIM(X40))&gt;0,ISNUMBER(Y40),OR(COUNTIF(T40:V40,"partial")+COUNTIF(T40:V40,"lost")=0,LEN(TRIM(W40))&gt;0)),"complete","pending")</x:f>
        <x:v>pending</x:v>
      </x:c>
    </x:row>
    <x:row r="41" ht="57" customHeight="1">
      <x:c r="A41" s="170" t="str">
        <x:v>semantic-audit-0037</x:v>
      </x:c>
      <x:c r="B41" s="170" t="str">
        <x:v>kir-pilot-v2-0130</x:v>
      </x:c>
      <x:c r="C41" s="170" t="str">
        <x:v>primary_decision</x:v>
      </x:c>
      <x:c r="D41" s="170" t="str">
        <x:v>Gemini 3.6 Flash</x:v>
      </x:c>
      <x:c r="E41" s="169" t="str">
        <x:v>以后有机会想看看那家博物馆，今天先不计划。</x:v>
      </x:c>
      <x:c r="F41" s="169" t="str">
        <x:v>—</x:v>
      </x:c>
      <x:c r="G41" s="169" t="str">
        <x:v>—</x:v>
      </x:c>
      <x:c r="H41" s="169" t="str">
        <x:v>以后有机会想看看那家博物馆，今天先不计划。</x:v>
      </x:c>
      <x:c r="I41" s="169" t="str">
        <x:v>single_turn；quiet_control</x:v>
      </x:c>
      <x:c r="J41" s="169" t="str">
        <x:v>success</x:v>
      </x:c>
      <x:c r="K41" s="169" t="str">
        <x:v>—</x:v>
      </x:c>
      <x:c r="L41" s="169" t="str">
        <x:v>deferred</x:v>
      </x:c>
      <x:c r="M41" s="169" t="str">
        <x:v>看看那家博物馆</x:v>
      </x:c>
      <x:c r="N41" s="169" t="str">
        <x:v>那家博物馆</x:v>
      </x:c>
      <x:c r="O41" s="169" t="str">
        <x:v>参观博物馆</x:v>
      </x:c>
      <x:c r="P41" s="169" t="str">
        <x:v>以后有机会；今天先不计划</x:v>
      </x:c>
      <x:c r="Q41" s="169" t="str">
        <x:v>—</x:v>
      </x:c>
      <x:c r="R41" s="169" t="str">
        <x:v>later</x:v>
      </x:c>
      <x:c r="S41" s="169" t="str">
        <x:v>表达了以后想看博物馆的愿望，但明确今天不计划，属于非当前行动</x:v>
      </x:c>
      <x:c r="T41" s="171" t="str"/>
      <x:c r="U41" s="171" t="str"/>
      <x:c r="V41" s="171" t="str"/>
      <x:c r="W41" s="166" t="str"/>
      <x:c r="X41" s="168" t="str">
        <x:f>IF('Guide'!$B$11="","",'Guide'!$B$11)</x:f>
      </x:c>
      <x:c r="Y41" s="172" t="str">
        <x:f>IF('Guide'!$B$12="","",'Guide'!$B$12)</x:f>
      </x:c>
      <x:c r="Z41" s="168" t="str">
        <x:f>IF(AND(COUNTIF(T41:V41,"preserved")+COUNTIF(T41:V41,"partial")+COUNTIF(T41:V41,"lost")=3,LEN(TRIM(X41))&gt;0,ISNUMBER(Y41),OR(COUNTIF(T41:V41,"partial")+COUNTIF(T41:V41,"lost")=0,LEN(TRIM(W41))&gt;0)),"complete","pending")</x:f>
        <x:v>pending</x:v>
      </x:c>
    </x:row>
    <x:row r="42" ht="57" customHeight="1">
      <x:c r="A42" s="170" t="str">
        <x:v>semantic-audit-0038</x:v>
      </x:c>
      <x:c r="B42" s="170" t="str">
        <x:v>kir-pilot-v2-0130</x:v>
      </x:c>
      <x:c r="C42" s="170" t="str">
        <x:v>weak_decision</x:v>
      </x:c>
      <x:c r="D42" s="170" t="str">
        <x:v>DeepSeek V4 Flash</x:v>
      </x:c>
      <x:c r="E42" s="169" t="str">
        <x:v>以后有机会想看看那家博物馆，今天先不计划。</x:v>
      </x:c>
      <x:c r="F42" s="169" t="str">
        <x:v>—</x:v>
      </x:c>
      <x:c r="G42" s="169" t="str">
        <x:v>—</x:v>
      </x:c>
      <x:c r="H42" s="169" t="str">
        <x:v>以后有机会想看看那家博物馆，今天先不计划。</x:v>
      </x:c>
      <x:c r="I42" s="169" t="str">
        <x:v>single_turn；quiet_control</x:v>
      </x:c>
      <x:c r="J42" s="169" t="str">
        <x:v>success</x:v>
      </x:c>
      <x:c r="K42" s="169" t="str">
        <x:v>—</x:v>
      </x:c>
      <x:c r="L42" s="169" t="str">
        <x:v>deferred</x:v>
      </x:c>
      <x:c r="M42" s="169" t="str">
        <x:v>去那家博物馆看看</x:v>
      </x:c>
      <x:c r="N42" s="169" t="str">
        <x:v>那家博物馆</x:v>
      </x:c>
      <x:c r="O42" s="169" t="str">
        <x:v>参观博物馆</x:v>
      </x:c>
      <x:c r="P42" s="169" t="str">
        <x:v>以后有机会；今天先不计划</x:v>
      </x:c>
      <x:c r="Q42" s="169" t="str">
        <x:v>—</x:v>
      </x:c>
      <x:c r="R42" s="169" t="str">
        <x:v>later</x:v>
      </x:c>
      <x:c r="S42" s="169" t="str">
        <x:v>未来愿望但明确今天不计划</x:v>
      </x:c>
      <x:c r="T42" s="171" t="str"/>
      <x:c r="U42" s="171" t="str"/>
      <x:c r="V42" s="171" t="str"/>
      <x:c r="W42" s="166" t="str"/>
      <x:c r="X42" s="168" t="str">
        <x:f>IF('Guide'!$B$11="","",'Guide'!$B$11)</x:f>
      </x:c>
      <x:c r="Y42" s="172" t="str">
        <x:f>IF('Guide'!$B$12="","",'Guide'!$B$12)</x:f>
      </x:c>
      <x:c r="Z42" s="168" t="str">
        <x:f>IF(AND(COUNTIF(T42:V42,"preserved")+COUNTIF(T42:V42,"partial")+COUNTIF(T42:V42,"lost")=3,LEN(TRIM(X42))&gt;0,ISNUMBER(Y42),OR(COUNTIF(T42:V42,"partial")+COUNTIF(T42:V42,"lost")=0,LEN(TRIM(W42))&gt;0)),"complete","pending")</x:f>
        <x:v>pending</x:v>
      </x:c>
    </x:row>
    <x:row r="43" ht="57" customHeight="1">
      <x:c r="A43" s="170" t="str">
        <x:v>semantic-audit-0039</x:v>
      </x:c>
      <x:c r="B43" s="170" t="str">
        <x:v>kir-pilot-v2-0132</x:v>
      </x:c>
      <x:c r="C43" s="170" t="str">
        <x:v>primary_decision</x:v>
      </x:c>
      <x:c r="D43" s="170" t="str">
        <x:v>Gemini 3.6 Flash</x:v>
      </x:c>
      <x:c r="E43" s="169" t="str">
        <x:v>周末也许约人吃饭，目前还没准备决定。</x:v>
      </x:c>
      <x:c r="F43" s="169" t="str">
        <x:v>—</x:v>
      </x:c>
      <x:c r="G43" s="169" t="str">
        <x:v>—</x:v>
      </x:c>
      <x:c r="H43" s="169" t="str">
        <x:v>周末也许约人吃饭，目前还没准备决定。</x:v>
      </x:c>
      <x:c r="I43" s="169" t="str">
        <x:v>single_turn；quiet_control</x:v>
      </x:c>
      <x:c r="J43" s="169" t="str">
        <x:v>success</x:v>
      </x:c>
      <x:c r="K43" s="169" t="str">
        <x:v>—</x:v>
      </x:c>
      <x:c r="L43" s="169" t="str">
        <x:v>deferred</x:v>
      </x:c>
      <x:c r="M43" s="169" t="str">
        <x:v>约人吃饭</x:v>
      </x:c>
      <x:c r="N43" s="169" t="str">
        <x:v>—</x:v>
      </x:c>
      <x:c r="O43" s="169" t="str">
        <x:v>与他人聚餐</x:v>
      </x:c>
      <x:c r="P43" s="169" t="str">
        <x:v>周末；未准备决定</x:v>
      </x:c>
      <x:c r="Q43" s="169" t="str">
        <x:v>—</x:v>
      </x:c>
      <x:c r="R43" s="169" t="str">
        <x:v>later</x:v>
      </x:c>
      <x:c r="S43" s="169" t="str">
        <x:v>属于周末的未来计划，且目前明确表达还没准备决定</x:v>
      </x:c>
      <x:c r="T43" s="171" t="str"/>
      <x:c r="U43" s="171" t="str"/>
      <x:c r="V43" s="171" t="str"/>
      <x:c r="W43" s="166" t="str"/>
      <x:c r="X43" s="168" t="str">
        <x:f>IF('Guide'!$B$11="","",'Guide'!$B$11)</x:f>
      </x:c>
      <x:c r="Y43" s="172" t="str">
        <x:f>IF('Guide'!$B$12="","",'Guide'!$B$12)</x:f>
      </x:c>
      <x:c r="Z43" s="168" t="str">
        <x:f>IF(AND(COUNTIF(T43:V43,"preserved")+COUNTIF(T43:V43,"partial")+COUNTIF(T43:V43,"lost")=3,LEN(TRIM(X43))&gt;0,ISNUMBER(Y43),OR(COUNTIF(T43:V43,"partial")+COUNTIF(T43:V43,"lost")=0,LEN(TRIM(W43))&gt;0)),"complete","pending")</x:f>
        <x:v>pending</x:v>
      </x:c>
    </x:row>
    <x:row r="44" ht="57" customHeight="1">
      <x:c r="A44" s="170" t="str">
        <x:v>semantic-audit-0040</x:v>
      </x:c>
      <x:c r="B44" s="170" t="str">
        <x:v>kir-pilot-v2-0132</x:v>
      </x:c>
      <x:c r="C44" s="170" t="str">
        <x:v>weak_decision</x:v>
      </x:c>
      <x:c r="D44" s="170" t="str">
        <x:v>DeepSeek V4 Flash</x:v>
      </x:c>
      <x:c r="E44" s="169" t="str">
        <x:v>周末也许约人吃饭，目前还没准备决定。</x:v>
      </x:c>
      <x:c r="F44" s="169" t="str">
        <x:v>—</x:v>
      </x:c>
      <x:c r="G44" s="169" t="str">
        <x:v>—</x:v>
      </x:c>
      <x:c r="H44" s="169" t="str">
        <x:v>周末也许约人吃饭，目前还没准备决定。</x:v>
      </x:c>
      <x:c r="I44" s="169" t="str">
        <x:v>single_turn；quiet_control</x:v>
      </x:c>
      <x:c r="J44" s="169" t="str">
        <x:v>provider_failure</x:v>
      </x:c>
      <x:c r="K44" s="169" t="str">
        <x:v>incomplete</x:v>
      </x:c>
      <x:c r="L44" s="169" t="str">
        <x:v>—</x:v>
      </x:c>
      <x:c r="M44" s="169" t="str">
        <x:v>—</x:v>
      </x:c>
      <x:c r="N44" s="169" t="str">
        <x:v>—</x:v>
      </x:c>
      <x:c r="O44" s="169" t="str">
        <x:v>—</x:v>
      </x:c>
      <x:c r="P44" s="169" t="str">
        <x:v>—</x:v>
      </x:c>
      <x:c r="Q44" s="169" t="str">
        <x:v>—</x:v>
      </x:c>
      <x:c r="R44" s="169" t="str">
        <x:v>—</x:v>
      </x:c>
      <x:c r="S44" s="169" t="str">
        <x:v>—</x:v>
      </x:c>
      <x:c r="T44" s="171" t="str"/>
      <x:c r="U44" s="171" t="str"/>
      <x:c r="V44" s="171" t="str"/>
      <x:c r="W44" s="166" t="str"/>
      <x:c r="X44" s="168" t="str">
        <x:f>IF('Guide'!$B$11="","",'Guide'!$B$11)</x:f>
      </x:c>
      <x:c r="Y44" s="172" t="str">
        <x:f>IF('Guide'!$B$12="","",'Guide'!$B$12)</x:f>
      </x:c>
      <x:c r="Z44" s="168" t="str">
        <x:f>IF(AND(COUNTIF(T44:V44,"preserved")+COUNTIF(T44:V44,"partial")+COUNTIF(T44:V44,"lost")=3,LEN(TRIM(X44))&gt;0,ISNUMBER(Y44),OR(COUNTIF(T44:V44,"partial")+COUNTIF(T44:V44,"lost")=0,LEN(TRIM(W44))&gt;0)),"complete","pending")</x:f>
        <x:v>pending</x:v>
      </x:c>
    </x:row>
    <x:row r="45" ht="57" customHeight="1">
      <x:c r="A45" s="170" t="str">
        <x:v>semantic-audit-0041</x:v>
      </x:c>
      <x:c r="B45" s="170" t="str">
        <x:v>kir-pilot-v2-0137</x:v>
      </x:c>
      <x:c r="C45" s="170" t="str">
        <x:v>primary_decision</x:v>
      </x:c>
      <x:c r="D45" s="170" t="str">
        <x:v>Gemini 3.6 Flash</x:v>
      </x:c>
      <x:c r="E45" s="169" t="str">
        <x:v>正在考虑下一项活动。</x:v>
      </x:c>
      <x:c r="F45" s="169" t="str">
        <x:v>Kindred: 上一项活动已经结束了。
User: 不要自动沿用刚才的活动，接下来呢？
Kindred: 现在有点累也有点饿，躺下还是在家做饭都行，没决定。</x:v>
      </x:c>
      <x:c r="G45" s="169" t="str">
        <x:v>—</x:v>
      </x:c>
      <x:c r="H45" s="169" t="str">
        <x:v>现在有点累也有点饿，躺下还是在家做饭都行，没决定。</x:v>
      </x:c>
      <x:c r="I45" s="169" t="str">
        <x:v>multi_turn；hard_negative；slot_required；rest_eat_confusion；hypothesized_weak_model_probe；multi_turn_recency；context_control</x:v>
      </x:c>
      <x:c r="J45" s="169" t="str">
        <x:v>success</x:v>
      </x:c>
      <x:c r="K45" s="169" t="str">
        <x:v>—</x:v>
      </x:c>
      <x:c r="L45" s="169" t="str">
        <x:v>ambiguous</x:v>
      </x:c>
      <x:c r="M45" s="169" t="str">
        <x:v>—</x:v>
      </x:c>
      <x:c r="N45" s="169" t="str">
        <x:v>—</x:v>
      </x:c>
      <x:c r="O45" s="169" t="str">
        <x:v>—</x:v>
      </x:c>
      <x:c r="P45" s="169" t="str">
        <x:v>暂未选择；当前疲惫和饥饿</x:v>
      </x:c>
      <x:c r="Q45" s="169" t="str">
        <x:v>躺下休息；在家做饭</x:v>
      </x:c>
      <x:c r="R45" s="169" t="str">
        <x:v>now</x:v>
      </x:c>
      <x:c r="S45" s="169" t="str">
        <x:v>存在躺下或做饭两个不同当前候选，明确表示尚未决定</x:v>
      </x:c>
      <x:c r="T45" s="171" t="str"/>
      <x:c r="U45" s="171" t="str"/>
      <x:c r="V45" s="171" t="str"/>
      <x:c r="W45" s="166" t="str"/>
      <x:c r="X45" s="168" t="str">
        <x:f>IF('Guide'!$B$11="","",'Guide'!$B$11)</x:f>
      </x:c>
      <x:c r="Y45" s="172" t="str">
        <x:f>IF('Guide'!$B$12="","",'Guide'!$B$12)</x:f>
      </x:c>
      <x:c r="Z45" s="168" t="str">
        <x:f>IF(AND(COUNTIF(T45:V45,"preserved")+COUNTIF(T45:V45,"partial")+COUNTIF(T45:V45,"lost")=3,LEN(TRIM(X45))&gt;0,ISNUMBER(Y45),OR(COUNTIF(T45:V45,"partial")+COUNTIF(T45:V45,"lost")=0,LEN(TRIM(W45))&gt;0)),"complete","pending")</x:f>
        <x:v>pending</x:v>
      </x:c>
    </x:row>
    <x:row r="46" ht="57" customHeight="1">
      <x:c r="A46" s="170" t="str">
        <x:v>semantic-audit-0042</x:v>
      </x:c>
      <x:c r="B46" s="170" t="str">
        <x:v>kir-pilot-v2-0137</x:v>
      </x:c>
      <x:c r="C46" s="170" t="str">
        <x:v>weak_decision</x:v>
      </x:c>
      <x:c r="D46" s="170" t="str">
        <x:v>DeepSeek V4 Flash</x:v>
      </x:c>
      <x:c r="E46" s="169" t="str">
        <x:v>正在考虑下一项活动。</x:v>
      </x:c>
      <x:c r="F46" s="169" t="str">
        <x:v>Kindred: 上一项活动已经结束了。
User: 不要自动沿用刚才的活动，接下来呢？
Kindred: 现在有点累也有点饿，躺下还是在家做饭都行，没决定。</x:v>
      </x:c>
      <x:c r="G46" s="169" t="str">
        <x:v>—</x:v>
      </x:c>
      <x:c r="H46" s="169" t="str">
        <x:v>现在有点累也有点饿，躺下还是在家做饭都行，没决定。</x:v>
      </x:c>
      <x:c r="I46" s="169" t="str">
        <x:v>multi_turn；hard_negative；slot_required；rest_eat_confusion；hypothesized_weak_model_probe；multi_turn_recency；context_control</x:v>
      </x:c>
      <x:c r="J46" s="169" t="str">
        <x:v>provider_failure</x:v>
      </x:c>
      <x:c r="K46" s="169" t="str">
        <x:v>incomplete</x:v>
      </x:c>
      <x:c r="L46" s="169" t="str">
        <x:v>—</x:v>
      </x:c>
      <x:c r="M46" s="169" t="str">
        <x:v>—</x:v>
      </x:c>
      <x:c r="N46" s="169" t="str">
        <x:v>—</x:v>
      </x:c>
      <x:c r="O46" s="169" t="str">
        <x:v>—</x:v>
      </x:c>
      <x:c r="P46" s="169" t="str">
        <x:v>—</x:v>
      </x:c>
      <x:c r="Q46" s="169" t="str">
        <x:v>—</x:v>
      </x:c>
      <x:c r="R46" s="169" t="str">
        <x:v>—</x:v>
      </x:c>
      <x:c r="S46" s="169" t="str">
        <x:v>—</x:v>
      </x:c>
      <x:c r="T46" s="171" t="str"/>
      <x:c r="U46" s="171" t="str"/>
      <x:c r="V46" s="171" t="str"/>
      <x:c r="W46" s="166" t="str"/>
      <x:c r="X46" s="168" t="str">
        <x:f>IF('Guide'!$B$11="","",'Guide'!$B$11)</x:f>
      </x:c>
      <x:c r="Y46" s="172" t="str">
        <x:f>IF('Guide'!$B$12="","",'Guide'!$B$12)</x:f>
      </x:c>
      <x:c r="Z46" s="168" t="str">
        <x:f>IF(AND(COUNTIF(T46:V46,"preserved")+COUNTIF(T46:V46,"partial")+COUNTIF(T46:V46,"lost")=3,LEN(TRIM(X46))&gt;0,ISNUMBER(Y46),OR(COUNTIF(T46:V46,"partial")+COUNTIF(T46:V46,"lost")=0,LEN(TRIM(W46))&gt;0)),"complete","pending")</x:f>
        <x:v>pending</x:v>
      </x:c>
    </x:row>
    <x:row r="47" ht="57" customHeight="1">
      <x:c r="A47" s="170" t="str">
        <x:v>semantic-audit-0043</x:v>
      </x:c>
      <x:c r="B47" s="170" t="str">
        <x:v>kir-pilot-v2-0140</x:v>
      </x:c>
      <x:c r="C47" s="170" t="str">
        <x:v>primary_decision</x:v>
      </x:c>
      <x:c r="D47" s="170" t="str">
        <x:v>Gemini 3.6 Flash</x:v>
      </x:c>
      <x:c r="E47" s="169" t="str">
        <x:v>现在临近晚饭时间。想先休息或点外卖，两个都可以，没有决定。</x:v>
      </x:c>
      <x:c r="F47" s="169" t="str">
        <x:v>—</x:v>
      </x:c>
      <x:c r="G47" s="169" t="str">
        <x:v>—</x:v>
      </x:c>
      <x:c r="H47" s="169" t="str">
        <x:v>想先休息或点外卖，两个都可以，没有决定。</x:v>
      </x:c>
      <x:c r="I47" s="169" t="str">
        <x:v>single_turn；hard_negative；slot_required；rest_eat_confusion；hypothesized_weak_model_probe；context_distractor</x:v>
      </x:c>
      <x:c r="J47" s="169" t="str">
        <x:v>success</x:v>
      </x:c>
      <x:c r="K47" s="169" t="str">
        <x:v>—</x:v>
      </x:c>
      <x:c r="L47" s="169" t="str">
        <x:v>ambiguous</x:v>
      </x:c>
      <x:c r="M47" s="169" t="str">
        <x:v>—</x:v>
      </x:c>
      <x:c r="N47" s="169" t="str">
        <x:v>—</x:v>
      </x:c>
      <x:c r="O47" s="169" t="str">
        <x:v>晚饭时间进行休闲或就餐安排</x:v>
      </x:c>
      <x:c r="P47" s="169" t="str">
        <x:v>临近晚饭时间；暂未决定</x:v>
      </x:c>
      <x:c r="Q47" s="169" t="str">
        <x:v>休息；点外卖</x:v>
      </x:c>
      <x:c r="R47" s="169" t="str">
        <x:v>now</x:v>
      </x:c>
      <x:c r="S47" s="169" t="str">
        <x:v>存在休息和点外卖两个当前候选，尚未做出决定</x:v>
      </x:c>
      <x:c r="T47" s="171" t="str"/>
      <x:c r="U47" s="171" t="str"/>
      <x:c r="V47" s="171" t="str"/>
      <x:c r="W47" s="166" t="str"/>
      <x:c r="X47" s="168" t="str">
        <x:f>IF('Guide'!$B$11="","",'Guide'!$B$11)</x:f>
      </x:c>
      <x:c r="Y47" s="172" t="str">
        <x:f>IF('Guide'!$B$12="","",'Guide'!$B$12)</x:f>
      </x:c>
      <x:c r="Z47" s="168" t="str">
        <x:f>IF(AND(COUNTIF(T47:V47,"preserved")+COUNTIF(T47:V47,"partial")+COUNTIF(T47:V47,"lost")=3,LEN(TRIM(X47))&gt;0,ISNUMBER(Y47),OR(COUNTIF(T47:V47,"partial")+COUNTIF(T47:V47,"lost")=0,LEN(TRIM(W47))&gt;0)),"complete","pending")</x:f>
        <x:v>pending</x:v>
      </x:c>
    </x:row>
    <x:row r="48" ht="57" customHeight="1">
      <x:c r="A48" s="170" t="str">
        <x:v>semantic-audit-0044</x:v>
      </x:c>
      <x:c r="B48" s="170" t="str">
        <x:v>kir-pilot-v2-0140</x:v>
      </x:c>
      <x:c r="C48" s="170" t="str">
        <x:v>weak_decision</x:v>
      </x:c>
      <x:c r="D48" s="170" t="str">
        <x:v>DeepSeek V4 Flash</x:v>
      </x:c>
      <x:c r="E48" s="169" t="str">
        <x:v>现在临近晚饭时间。想先休息或点外卖，两个都可以，没有决定。</x:v>
      </x:c>
      <x:c r="F48" s="169" t="str">
        <x:v>—</x:v>
      </x:c>
      <x:c r="G48" s="169" t="str">
        <x:v>—</x:v>
      </x:c>
      <x:c r="H48" s="169" t="str">
        <x:v>想先休息或点外卖，两个都可以，没有决定。</x:v>
      </x:c>
      <x:c r="I48" s="169" t="str">
        <x:v>single_turn；hard_negative；slot_required；rest_eat_confusion；hypothesized_weak_model_probe；context_distractor</x:v>
      </x:c>
      <x:c r="J48" s="169" t="str">
        <x:v>provider_failure</x:v>
      </x:c>
      <x:c r="K48" s="169" t="str">
        <x:v>incomplete</x:v>
      </x:c>
      <x:c r="L48" s="169" t="str">
        <x:v>—</x:v>
      </x:c>
      <x:c r="M48" s="169" t="str">
        <x:v>—</x:v>
      </x:c>
      <x:c r="N48" s="169" t="str">
        <x:v>—</x:v>
      </x:c>
      <x:c r="O48" s="169" t="str">
        <x:v>—</x:v>
      </x:c>
      <x:c r="P48" s="169" t="str">
        <x:v>—</x:v>
      </x:c>
      <x:c r="Q48" s="169" t="str">
        <x:v>—</x:v>
      </x:c>
      <x:c r="R48" s="169" t="str">
        <x:v>—</x:v>
      </x:c>
      <x:c r="S48" s="169" t="str">
        <x:v>—</x:v>
      </x:c>
      <x:c r="T48" s="171" t="str"/>
      <x:c r="U48" s="171" t="str"/>
      <x:c r="V48" s="171" t="str"/>
      <x:c r="W48" s="166" t="str"/>
      <x:c r="X48" s="168" t="str">
        <x:f>IF('Guide'!$B$11="","",'Guide'!$B$11)</x:f>
      </x:c>
      <x:c r="Y48" s="172" t="str">
        <x:f>IF('Guide'!$B$12="","",'Guide'!$B$12)</x:f>
      </x:c>
      <x:c r="Z48" s="168" t="str">
        <x:f>IF(AND(COUNTIF(T48:V48,"preserved")+COUNTIF(T48:V48,"partial")+COUNTIF(T48:V48,"lost")=3,LEN(TRIM(X48))&gt;0,ISNUMBER(Y48),OR(COUNTIF(T48:V48,"partial")+COUNTIF(T48:V48,"lost")=0,LEN(TRIM(W48))&gt;0)),"complete","pending")</x:f>
        <x:v>pending</x:v>
      </x:c>
    </x:row>
    <x:row r="49" ht="57" customHeight="1">
      <x:c r="A49" s="170" t="str">
        <x:v>semantic-audit-0045</x:v>
      </x:c>
      <x:c r="B49" s="170" t="str">
        <x:v>kir-pilot-v2-0142</x:v>
      </x:c>
      <x:c r="C49" s="170" t="str">
        <x:v>primary_decision</x:v>
      </x:c>
      <x:c r="D49" s="170" t="str">
        <x:v>Gemini 3.6 Flash</x:v>
      </x:c>
      <x:c r="E49" s="169" t="str">
        <x:v>身体有些疲惫。正在考虑下一项活动。</x:v>
      </x:c>
      <x:c r="F49" s="169" t="str">
        <x:v>User: 你前面说了几个可能，现在有唯一选择吗？
Kindred: 现在想出门，散步或找家咖啡馆都可以。</x:v>
      </x:c>
      <x:c r="G49" s="169" t="str">
        <x:v>—</x:v>
      </x:c>
      <x:c r="H49" s="169" t="str">
        <x:v>现在想出门，散步或找家咖啡馆都可以。</x:v>
      </x:c>
      <x:c r="I49" s="169" t="str">
        <x:v>multi_turn；hard_negative；slot_required；multi_turn_resolution；context_distractor</x:v>
      </x:c>
      <x:c r="J49" s="169" t="str">
        <x:v>success</x:v>
      </x:c>
      <x:c r="K49" s="169" t="str">
        <x:v>—</x:v>
      </x:c>
      <x:c r="L49" s="169" t="str">
        <x:v>ambiguous</x:v>
      </x:c>
      <x:c r="M49" s="169" t="str">
        <x:v>—</x:v>
      </x:c>
      <x:c r="N49" s="169" t="str">
        <x:v>咖啡馆</x:v>
      </x:c>
      <x:c r="O49" s="169" t="str">
        <x:v>出门活动放松</x:v>
      </x:c>
      <x:c r="P49" s="169" t="str">
        <x:v>现在；暂未选择</x:v>
      </x:c>
      <x:c r="Q49" s="169" t="str">
        <x:v>散步；找家咖啡馆</x:v>
      </x:c>
      <x:c r="R49" s="169" t="str">
        <x:v>now</x:v>
      </x:c>
      <x:c r="S49" s="169" t="str">
        <x:v>存在出门散步或找咖啡馆两个候选，尚未做唯一选择</x:v>
      </x:c>
      <x:c r="T49" s="171" t="str"/>
      <x:c r="U49" s="171" t="str"/>
      <x:c r="V49" s="171" t="str"/>
      <x:c r="W49" s="166" t="str"/>
      <x:c r="X49" s="168" t="str">
        <x:f>IF('Guide'!$B$11="","",'Guide'!$B$11)</x:f>
      </x:c>
      <x:c r="Y49" s="172" t="str">
        <x:f>IF('Guide'!$B$12="","",'Guide'!$B$12)</x:f>
      </x:c>
      <x:c r="Z49" s="168" t="str">
        <x:f>IF(AND(COUNTIF(T49:V49,"preserved")+COUNTIF(T49:V49,"partial")+COUNTIF(T49:V49,"lost")=3,LEN(TRIM(X49))&gt;0,ISNUMBER(Y49),OR(COUNTIF(T49:V49,"partial")+COUNTIF(T49:V49,"lost")=0,LEN(TRIM(W49))&gt;0)),"complete","pending")</x:f>
        <x:v>pending</x:v>
      </x:c>
    </x:row>
    <x:row r="50" ht="57" customHeight="1">
      <x:c r="A50" s="170" t="str">
        <x:v>semantic-audit-0046</x:v>
      </x:c>
      <x:c r="B50" s="170" t="str">
        <x:v>kir-pilot-v2-0142</x:v>
      </x:c>
      <x:c r="C50" s="170" t="str">
        <x:v>weak_decision</x:v>
      </x:c>
      <x:c r="D50" s="170" t="str">
        <x:v>DeepSeek V4 Flash</x:v>
      </x:c>
      <x:c r="E50" s="169" t="str">
        <x:v>身体有些疲惫。正在考虑下一项活动。</x:v>
      </x:c>
      <x:c r="F50" s="169" t="str">
        <x:v>User: 你前面说了几个可能，现在有唯一选择吗？
Kindred: 现在想出门，散步或找家咖啡馆都可以。</x:v>
      </x:c>
      <x:c r="G50" s="169" t="str">
        <x:v>—</x:v>
      </x:c>
      <x:c r="H50" s="169" t="str">
        <x:v>现在想出门，散步或找家咖啡馆都可以。</x:v>
      </x:c>
      <x:c r="I50" s="169" t="str">
        <x:v>multi_turn；hard_negative；slot_required；multi_turn_resolution；context_distractor</x:v>
      </x:c>
      <x:c r="J50" s="169" t="str">
        <x:v>provider_failure</x:v>
      </x:c>
      <x:c r="K50" s="169" t="str">
        <x:v>incomplete</x:v>
      </x:c>
      <x:c r="L50" s="169" t="str">
        <x:v>—</x:v>
      </x:c>
      <x:c r="M50" s="169" t="str">
        <x:v>—</x:v>
      </x:c>
      <x:c r="N50" s="169" t="str">
        <x:v>—</x:v>
      </x:c>
      <x:c r="O50" s="169" t="str">
        <x:v>—</x:v>
      </x:c>
      <x:c r="P50" s="169" t="str">
        <x:v>—</x:v>
      </x:c>
      <x:c r="Q50" s="169" t="str">
        <x:v>—</x:v>
      </x:c>
      <x:c r="R50" s="169" t="str">
        <x:v>—</x:v>
      </x:c>
      <x:c r="S50" s="169" t="str">
        <x:v>—</x:v>
      </x:c>
      <x:c r="T50" s="171" t="str"/>
      <x:c r="U50" s="171" t="str"/>
      <x:c r="V50" s="171" t="str"/>
      <x:c r="W50" s="166" t="str"/>
      <x:c r="X50" s="168" t="str">
        <x:f>IF('Guide'!$B$11="","",'Guide'!$B$11)</x:f>
      </x:c>
      <x:c r="Y50" s="172" t="str">
        <x:f>IF('Guide'!$B$12="","",'Guide'!$B$12)</x:f>
      </x:c>
      <x:c r="Z50" s="168" t="str">
        <x:f>IF(AND(COUNTIF(T50:V50,"preserved")+COUNTIF(T50:V50,"partial")+COUNTIF(T50:V50,"lost")=3,LEN(TRIM(X50))&gt;0,ISNUMBER(Y50),OR(COUNTIF(T50:V50,"partial")+COUNTIF(T50:V50,"lost")=0,LEN(TRIM(W50))&gt;0)),"complete","pending")</x:f>
        <x:v>pending</x:v>
      </x:c>
    </x:row>
    <x:row r="51" ht="57" customHeight="1">
      <x:c r="A51" s="170" t="str">
        <x:v>semantic-audit-0047</x:v>
      </x:c>
      <x:c r="B51" s="170" t="str">
        <x:v>kir-pilot-v2-0151</x:v>
      </x:c>
      <x:c r="C51" s="170" t="str">
        <x:v>primary_decision</x:v>
      </x:c>
      <x:c r="D51" s="170" t="str">
        <x:v>Gemini 3.6 Flash</x:v>
      </x:c>
      <x:c r="E51" s="169" t="str">
        <x:v>想离开屋子一会儿，目的地还完全没想好。</x:v>
      </x:c>
      <x:c r="F51" s="169" t="str">
        <x:v>—</x:v>
      </x:c>
      <x:c r="G51" s="169" t="str">
        <x:v>—</x:v>
      </x:c>
      <x:c r="H51" s="169" t="str">
        <x:v>想离开屋子一会儿，目的地还完全没想好。</x:v>
      </x:c>
      <x:c r="I51" s="169" t="str">
        <x:v>single_turn；slot_required</x:v>
      </x:c>
      <x:c r="J51" s="169" t="str">
        <x:v>success</x:v>
      </x:c>
      <x:c r="K51" s="169" t="str">
        <x:v>—</x:v>
      </x:c>
      <x:c r="L51" s="169" t="str">
        <x:v>ambiguous</x:v>
      </x:c>
      <x:c r="M51" s="169" t="str">
        <x:v>离开屋子一会儿</x:v>
      </x:c>
      <x:c r="N51" s="169" t="str">
        <x:v>—</x:v>
      </x:c>
      <x:c r="O51" s="169" t="str">
        <x:v>外出走走</x:v>
      </x:c>
      <x:c r="P51" s="169" t="str">
        <x:v>目的地未想好</x:v>
      </x:c>
      <x:c r="Q51" s="169" t="str">
        <x:v>—</x:v>
      </x:c>
      <x:c r="R51" s="169" t="str">
        <x:v>now</x:v>
      </x:c>
      <x:c r="S51" s="169" t="str">
        <x:v>有离家出游的意向，但目的地完全尚未决定</x:v>
      </x:c>
      <x:c r="T51" s="171" t="str"/>
      <x:c r="U51" s="171" t="str"/>
      <x:c r="V51" s="171" t="str"/>
      <x:c r="W51" s="166" t="str"/>
      <x:c r="X51" s="168" t="str">
        <x:f>IF('Guide'!$B$11="","",'Guide'!$B$11)</x:f>
      </x:c>
      <x:c r="Y51" s="172" t="str">
        <x:f>IF('Guide'!$B$12="","",'Guide'!$B$12)</x:f>
      </x:c>
      <x:c r="Z51" s="168" t="str">
        <x:f>IF(AND(COUNTIF(T51:V51,"preserved")+COUNTIF(T51:V51,"partial")+COUNTIF(T51:V51,"lost")=3,LEN(TRIM(X51))&gt;0,ISNUMBER(Y51),OR(COUNTIF(T51:V51,"partial")+COUNTIF(T51:V51,"lost")=0,LEN(TRIM(W51))&gt;0)),"complete","pending")</x:f>
        <x:v>pending</x:v>
      </x:c>
    </x:row>
    <x:row r="52" ht="57" customHeight="1">
      <x:c r="A52" s="170" t="str">
        <x:v>semantic-audit-0048</x:v>
      </x:c>
      <x:c r="B52" s="170" t="str">
        <x:v>kir-pilot-v2-0151</x:v>
      </x:c>
      <x:c r="C52" s="170" t="str">
        <x:v>weak_decision</x:v>
      </x:c>
      <x:c r="D52" s="170" t="str">
        <x:v>DeepSeek V4 Flash</x:v>
      </x:c>
      <x:c r="E52" s="169" t="str">
        <x:v>想离开屋子一会儿，目的地还完全没想好。</x:v>
      </x:c>
      <x:c r="F52" s="169" t="str">
        <x:v>—</x:v>
      </x:c>
      <x:c r="G52" s="169" t="str">
        <x:v>—</x:v>
      </x:c>
      <x:c r="H52" s="169" t="str">
        <x:v>想离开屋子一会儿，目的地还完全没想好。</x:v>
      </x:c>
      <x:c r="I52" s="169" t="str">
        <x:v>single_turn；slot_required</x:v>
      </x:c>
      <x:c r="J52" s="169" t="str">
        <x:v>provider_failure</x:v>
      </x:c>
      <x:c r="K52" s="169" t="str">
        <x:v>incomplete</x:v>
      </x:c>
      <x:c r="L52" s="169" t="str">
        <x:v>—</x:v>
      </x:c>
      <x:c r="M52" s="169" t="str">
        <x:v>—</x:v>
      </x:c>
      <x:c r="N52" s="169" t="str">
        <x:v>—</x:v>
      </x:c>
      <x:c r="O52" s="169" t="str">
        <x:v>—</x:v>
      </x:c>
      <x:c r="P52" s="169" t="str">
        <x:v>—</x:v>
      </x:c>
      <x:c r="Q52" s="169" t="str">
        <x:v>—</x:v>
      </x:c>
      <x:c r="R52" s="169" t="str">
        <x:v>—</x:v>
      </x:c>
      <x:c r="S52" s="169" t="str">
        <x:v>—</x:v>
      </x:c>
      <x:c r="T52" s="171" t="str"/>
      <x:c r="U52" s="171" t="str"/>
      <x:c r="V52" s="171" t="str"/>
      <x:c r="W52" s="166" t="str"/>
      <x:c r="X52" s="168" t="str">
        <x:f>IF('Guide'!$B$11="","",'Guide'!$B$11)</x:f>
      </x:c>
      <x:c r="Y52" s="172" t="str">
        <x:f>IF('Guide'!$B$12="","",'Guide'!$B$12)</x:f>
      </x:c>
      <x:c r="Z52" s="168" t="str">
        <x:f>IF(AND(COUNTIF(T52:V52,"preserved")+COUNTIF(T52:V52,"partial")+COUNTIF(T52:V52,"lost")=3,LEN(TRIM(X52))&gt;0,ISNUMBER(Y52),OR(COUNTIF(T52:V52,"partial")+COUNTIF(T52:V52,"lost")=0,LEN(TRIM(W52))&gt;0)),"complete","pending")</x:f>
        <x:v>pending</x:v>
      </x:c>
    </x:row>
  </x:sheetData>
  <x:mergeCells>
    <x:mergeCell ref="A1:Z2"/>
    <x:mergeCell ref="A3:Z3"/>
  </x:mergeCells>
  <x:conditionalFormatting sqref="T5:V52">
    <x:cfRule type="containsText" dxfId="0" priority="1" operator="containsText" text="preserved"/>
    <x:cfRule type="containsText" dxfId="1" priority="2" operator="containsText" text="partial"/>
    <x:cfRule type="containsText" dxfId="2" priority="3" operator="containsText" text="lost"/>
  </x:conditionalFormatting>
  <x:conditionalFormatting sqref="Z5:Z52">
    <x:cfRule type="containsText" dxfId="3" priority="4" operator="containsText" text="complete"/>
    <x:cfRule type="containsText" dxfId="4" priority="5" operator="containsText" text="pending"/>
  </x:conditionalFormatting>
  <x:dataValidations count="1">
    <x:dataValidation type="list" sqref="T5:V52">
      <x:formula1>"preserved,partial,lost"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afae88c9ce49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33.33000183105469" hidden="0" customWidth="1"/>
    <x:col min="3" max="3" width="33.33000183105469" hidden="0" customWidth="1"/>
    <x:col min="4" max="4" width="33.33000183105469" hidden="0" customWidth="1"/>
  </x:cols>
  <x:sheetData>
    <x:row r="1" ht="24" customHeight="1">
      <x:c r="A1" s="174" t="str">
        <x:v>Rubric · preserved / partial / lost</x:v>
      </x:c>
      <x:c r="B1" s="174"/>
      <x:c r="C1" s="174"/>
      <x:c r="D1" s="174"/>
    </x:row>
    <x:row r="2" ht="24" customHeight="1">
      <x:c r="A2" s="174"/>
      <x:c r="B2" s="174"/>
      <x:c r="C2" s="174"/>
      <x:c r="D2" s="174"/>
    </x:row>
    <x:row r="4">
      <x:c r="A4" s="209" t="str">
        <x:v>字段</x:v>
      </x:c>
      <x:c r="B4" s="210" t="str">
        <x:v>preserved</x:v>
      </x:c>
      <x:c r="C4" s="210" t="str">
        <x:v>partial</x:v>
      </x:c>
      <x:c r="D4" s="211" t="str">
        <x:v>lost</x:v>
      </x:c>
    </x:row>
    <x:row r="5" ht="75" customHeight="1">
      <x:c r="A5" s="214" t="str">
        <x:v>action</x:v>
      </x:c>
      <x:c r="B5" s="216" t="str">
        <x:v>当前行动、否定和备选关系完整保留；同义改写可以。若来源无行动，正确保持无行动也算 preserved。</x:v>
      </x:c>
      <x:c r="C5" s="218" t="str">
        <x:v>核心行动仍可辨认，但方式、并列动作、否定或备选关系有实质弱化。</x:v>
      </x:c>
      <x:c r="D5" s="220" t="str">
        <x:v>行动缺失、被替换、与来源矛盾，或凭空确定了来源没有的唯一行动。</x:v>
      </x:c>
    </x:row>
    <x:row r="6" ht="75" customHeight="1">
      <x:c r="A6" s="214" t="str">
        <x:v>object</x:v>
      </x:c>
      <x:c r="B6" s="216" t="str">
        <x:v>行动对象及关键范围完整保留；来源无对象时不发明对象。</x:v>
      </x:c>
      <x:c r="C6" s="218" t="str">
        <x:v>对象大类正确，但具体对象、场所、对象范围或关键限定丢失一部分。</x:v>
      </x:c>
      <x:c r="D6" s="220" t="str">
        <x:v>对象缺失、换成另一对象、与来源矛盾，或发明了会改变含义的对象。</x:v>
      </x:c>
    </x:row>
    <x:row r="7" ht="75" customHeight="1">
      <x:c r="A7" s="215" t="str">
        <x:v>horizon</x:v>
      </x:c>
      <x:c r="B7" s="217" t="str">
        <x:v>now/later/unspecified 与最新有效表达一致，并正确处理历史候选、否定和延期。</x:v>
      </x:c>
      <x:c r="C7" s="219" t="str">
        <x:v>大方向接近，但时间范围被不必要泛化，或关键时间限定没有完整保留。</x:v>
      </x:c>
      <x:c r="D7" s="221" t="str">
        <x:v>现在与以后颠倒、把已否定/历史候选当当前计划，或完全丢失关键时间范围。</x:v>
      </x:c>
    </x:row>
    <x:row r="9">
      <x:c r="A9" s="6" t="str">
        <x:v>边界规则</x:v>
      </x:c>
      <x:c r="B9" s="6"/>
      <x:c r="C9" s="6"/>
      <x:c r="D9" s="6"/>
    </x:row>
    <x:row r="10" ht="25.5" customHeight="1">
      <x:c r="A10" s="91" t="str">
        <x:v>• 只比较 source 与 formed intention；不要依据 Gold decision、最终 B3 routing 或你偏好的 Activity 打分。</x:v>
      </x:c>
      <x:c r="B10" s="91"/>
      <x:c r="C10" s="91"/>
      <x:c r="D10" s="91"/>
    </x:row>
    <x:row r="11" ht="25.5" customHeight="1">
      <x:c r="A11" s="91" t="str">
        <x:v>• 字段在来源中确实不存在时，模型保持 null/none/unspecified 可评 preserved；不要强迫补全。</x:v>
      </x:c>
      <x:c r="B11" s="91"/>
      <x:c r="C11" s="91"/>
      <x:c r="D11" s="91"/>
    </x:row>
    <x:row r="12" ht="25.5" customHeight="1">
      <x:c r="A12" s="91" t="str">
        <x:v>• ambiguous 输入允许 action + alternatives；重点是候选关系是否保留，不要求模型替用户做唯一决定。</x:v>
      </x:c>
      <x:c r="B12" s="91"/>
      <x:c r="C12" s="91"/>
      <x:c r="D12" s="91"/>
    </x:row>
    <x:row r="13" ht="25.5" customHeight="1">
      <x:c r="A13" s="91" t="str">
        <x:v>• provider_failure 没有形成表示，action/object/horizon 均为 lost；备注 stage_a_provider_failure。</x:v>
      </x:c>
      <x:c r="B13" s="91"/>
      <x:c r="C13" s="91"/>
      <x:c r="D13" s="91"/>
    </x:row>
    <x:row r="14" ht="25.5" customHeight="1">
      <x:c r="A14" s="91" t="str">
        <x:v>• partial 与 lost 的备注要引用具体丢失或发明的语义，避免只写‘感觉不对’。</x:v>
      </x:c>
      <x:c r="B14" s="91"/>
      <x:c r="C14" s="91"/>
      <x:c r="D14" s="91"/>
    </x:row>
  </x:sheetData>
  <x:mergeCells>
    <x:mergeCell ref="A1:D2"/>
    <x:mergeCell ref="A9:D9"/>
    <x:mergeCell ref="A10:D10"/>
    <x:mergeCell ref="A11:D11"/>
    <x:mergeCell ref="A12:D12"/>
    <x:mergeCell ref="A13:D13"/>
    <x:mergeCell ref="A14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40" hidden="0" customWidth="1"/>
    <x:col min="3" max="3" width="47.779998779296875" hidden="0" customWidth="1"/>
    <x:col min="4" max="4" width="20" hidden="0" customWidth="1"/>
    <x:col min="5" max="5" width="23.329999923706055" hidden="0" customWidth="1"/>
    <x:col min="6" max="6" width="20" hidden="0" customWidth="1"/>
  </x:cols>
  <x:sheetData>
    <x:row r="1" ht="24" customHeight="1">
      <x:c r="A1" s="153" t="str">
        <x:v>Options &amp; frozen provenance</x:v>
      </x:c>
      <x:c r="B1" s="153"/>
      <x:c r="C1" s="153"/>
      <x:c r="D1" s="153"/>
      <x:c r="E1" s="153"/>
      <x:c r="F1" s="153"/>
      <x:c r="G1" s="153"/>
      <x:c r="H1" s="153"/>
    </x:row>
    <x:row r="2" ht="24" customHeight="1">
      <x:c r="A2" s="153"/>
      <x:c r="B2" s="153"/>
      <x:c r="C2" s="153"/>
      <x:c r="D2" s="153"/>
      <x:c r="E2" s="153"/>
      <x:c r="F2" s="153"/>
      <x:c r="G2" s="153"/>
      <x:c r="H2" s="153"/>
    </x:row>
    <x:row r="4">
      <x:c r="A4" s="79" t="str">
        <x:v>rating</x:v>
      </x:c>
      <x:c r="B4" s="81" t="str">
        <x:v>含义</x:v>
      </x:c>
      <x:c r="D4" s="79" t="str">
        <x:v>model_role</x:v>
      </x:c>
      <x:c r="E4" s="81" t="str">
        <x:v>model</x:v>
      </x:c>
    </x:row>
    <x:row r="5">
      <x:c r="A5" s="222" t="str">
        <x:v>preserved</x:v>
      </x:c>
      <x:c r="B5" s="223" t="str">
        <x:v>完整保留或正确保持缺省</x:v>
      </x:c>
      <x:c r="D5" s="39" t="str">
        <x:v>primary_decision</x:v>
      </x:c>
      <x:c r="E5" s="40" t="str">
        <x:v>Gemini 3.6 Flash</x:v>
      </x:c>
    </x:row>
    <x:row r="6">
      <x:c r="A6" s="224" t="str">
        <x:v>partial</x:v>
      </x:c>
      <x:c r="B6" s="225" t="str">
        <x:v>核心仍可辨认但有实质弱化</x:v>
      </x:c>
      <x:c r="D6" s="42" t="str">
        <x:v>weak_decision</x:v>
      </x:c>
      <x:c r="E6" s="43" t="str">
        <x:v>DeepSeek V4 Flash</x:v>
      </x:c>
    </x:row>
    <x:row r="7">
      <x:c r="A7" s="226" t="str">
        <x:v>lost</x:v>
      </x:c>
      <x:c r="B7" s="227" t="str">
        <x:v>缺失、矛盾或发明导致含义改变</x:v>
      </x:c>
    </x:row>
    <x:row r="10">
      <x:c r="A10" s="249" t="str">
        <x:v>source</x:v>
      </x:c>
      <x:c r="B10" s="250" t="str">
        <x:v>repository path</x:v>
      </x:c>
      <x:c r="C10" s="251" t="str">
        <x:v>SHA-256</x:v>
      </x:c>
      <x:c r="E10" s="79" t="str">
        <x:v>contract</x:v>
      </x:c>
      <x:c r="F10" s="81" t="str">
        <x:v>value</x:v>
      </x:c>
    </x:row>
    <x:row r="11">
      <x:c r="A11" s="240" t="str">
        <x:v>freeze</x:v>
      </x:c>
      <x:c r="B11" s="241" t="str">
        <x:v>data/kir-pilot-v2/freeze-manifest.json</x:v>
      </x:c>
      <x:c r="C11" s="242" t="str">
        <x:v>e079e192837da06daa8a00ab4cf73174ee4463bdeeb9b3f0271e52929597d9aa</x:v>
      </x:c>
      <x:c r="E11" s="39" t="str">
        <x:v>dataset_version</x:v>
      </x:c>
      <x:c r="F11" s="40" t="str">
        <x:v>kir-pilot-v2</x:v>
      </x:c>
    </x:row>
    <x:row r="12">
      <x:c r="A12" s="240" t="str">
        <x:v>split</x:v>
      </x:c>
      <x:c r="B12" s="241" t="str">
        <x:v>data/kir-pilot-v2/split-manifest.json</x:v>
      </x:c>
      <x:c r="C12" s="242" t="str">
        <x:v>cc68976c1c6eb4de664d05e529d31db1d5208073a4553c630e437e416f587902</x:v>
      </x:c>
      <x:c r="E12" s="39" t="str">
        <x:v>taxonomy_version</x:v>
      </x:c>
      <x:c r="F12" s="40" t="str">
        <x:v>kindred-activity-intents-v2</x:v>
      </x:c>
    </x:row>
    <x:row r="13">
      <x:c r="A13" s="240" t="str">
        <x:v>cases</x:v>
      </x:c>
      <x:c r="B13" s="241" t="str">
        <x:v>data/kir-pilot-v2/test.jsonl</x:v>
      </x:c>
      <x:c r="C13" s="242" t="str">
        <x:v>648ebce7fd1fe9d9ce9699fd96f27948a1aa675fa4f8db1d73aa07bf4ef57fa5</x:v>
      </x:c>
      <x:c r="E13" s="39" t="str">
        <x:v>frozen_case_count</x:v>
      </x:c>
      <x:c r="F13" s="40" t="n">
        <x:v>24</x:v>
      </x:c>
    </x:row>
    <x:row r="14">
      <x:c r="A14" s="240" t="str">
        <x:v>primary</x:v>
      </x:c>
      <x:c r="B14" s="241" t="str">
        <x:v>experiments/ie3-test/primary_decision/b3/formed-intentions.jsonl</x:v>
      </x:c>
      <x:c r="C14" s="242" t="str">
        <x:v>84bf0034e9bbea213b41dfe0104fd864daa4c9c7c3bd37c61ad67b59ca9b4b93</x:v>
      </x:c>
      <x:c r="E14" s="39" t="str">
        <x:v>audit_row_count</x:v>
      </x:c>
      <x:c r="F14" s="40" t="n">
        <x:v>48</x:v>
      </x:c>
    </x:row>
    <x:row r="15">
      <x:c r="A15" s="243" t="str">
        <x:v>weak</x:v>
      </x:c>
      <x:c r="B15" s="244" t="str">
        <x:v>experiments/ie3-test/weak_decision/b3/formed-intentions.jsonl</x:v>
      </x:c>
      <x:c r="C15" s="245" t="str">
        <x:v>0fb0f91c7100b4cc3c5877014446c7fdc641bdecb8970bf0e3c0fbe9ec0ca86a</x:v>
      </x:c>
      <x:c r="E15" s="39" t="str">
        <x:v>audited_fields</x:v>
      </x:c>
      <x:c r="F15" s="40" t="str">
        <x:v>action/object/horizon</x:v>
      </x:c>
    </x:row>
    <x:row r="16">
      <x:c r="E16" s="42" t="str">
        <x:v>verdict_effect</x:v>
      </x:c>
      <x:c r="F16" s="43" t="str">
        <x:v>diagnostic_only</x:v>
      </x:c>
    </x:row>
  </x:sheetData>
  <x:mergeCells>
    <x:mergeCell ref="A1:H2"/>
  </x:mergeCells>
  <x:pageMargins left="0.7" right="0.7" top="0.75" bottom="0.75" header="0.3" footer="0.3"/>
</x:worksheet>
</file>