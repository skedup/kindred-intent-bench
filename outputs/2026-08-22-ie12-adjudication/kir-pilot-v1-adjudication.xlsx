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18698aa393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仲裁说明" sheetId="1" r:id="R61731f42501644d3"/>
    <x:sheet xmlns:r="http://schemas.openxmlformats.org/officeDocument/2006/relationships" name="仲裁工作台" sheetId="2" r:id="Rd23e9f677e444cfa"/>
    <x:sheet xmlns:r="http://schemas.openxmlformats.org/officeDocument/2006/relationships" name="规则依据" sheetId="3" r:id="R3a5483653d954b90"/>
    <x:sheet xmlns:r="http://schemas.openxmlformats.org/officeDocument/2006/relationships" name="选项与元数据" sheetId="4" r:id="R4a08f06f623a4b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2"/>
      <x:color rgb="FFFFFFFF"/>
      <x:name val="Carlito"/>
    </x:font>
    <x:font>
      <x:b/>
      <x:sz val="11"/>
      <x:color rgb="FF0F766E"/>
      <x:name val="Carlito"/>
    </x:font>
    <x:font>
      <x:sz val="11"/>
      <x:color rgb="FF475569"/>
      <x:name val="Carlito"/>
    </x:font>
    <x:font>
      <x:b/>
      <x:sz val="18"/>
      <x:color rgb="FFFFFFFF"/>
      <x:name val="Aptos"/>
    </x:font>
    <x:font>
      <x:sz val="11"/>
      <x:name val="Aptos"/>
    </x:font>
    <x:font>
      <x:b/>
      <x:sz val="11"/>
      <x:color rgb="FF17324D"/>
      <x:name val="Aptos"/>
    </x:font>
    <x:font>
      <x:b/>
      <x:sz val="12"/>
      <x:color rgb="FFFFFFFF"/>
      <x:name val="Aptos"/>
    </x:font>
    <x:font>
      <x:b/>
      <x:sz val="11"/>
      <x:color rgb="FF0F766E"/>
      <x:name val="Aptos"/>
    </x:font>
    <x:font>
      <x:sz val="11"/>
      <x:color rgb="FF475569"/>
      <x:name val="Aptos"/>
    </x:font>
    <x:font>
      <x:b/>
      <x:sz val="10"/>
      <x:color rgb="FFFFFFFF"/>
      <x:name val="Carlito"/>
    </x:font>
    <x:font>
      <x:sz val="9"/>
      <x:color rgb="FF1E293B"/>
      <x:name val="Aptos"/>
    </x:font>
    <x:font>
      <x:b/>
      <x:sz val="10"/>
      <x:color rgb="FF475569"/>
      <x:name val="Carlito"/>
    </x:font>
    <x:font>
      <x:sz val="9"/>
      <x:color rgb="FF475569"/>
      <x:name val="Aptos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Aptos"/>
    </x:font>
    <x:font>
      <x:b/>
      <x:sz val="11"/>
      <x:color rgb="FFFFFFFF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0F8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  <x:fill>
      <x:patternFill patternType="solid">
        <x:fgColor rgb="FFDDF3EF"/>
      </x:patternFill>
    </x:fill>
    <x:fill>
      <x:patternFill patternType="solid">
        <x:fgColor rgb="FFFFF4CC"/>
      </x:patternFill>
    </x:fill>
    <x:fill>
      <x:patternFill patternType="solid">
        <x:fgColor rgb="FFF1F5F9"/>
      </x:patternFill>
    </x:fill>
    <x:fill>
      <x:patternFill patternType="solid">
        <x:fgColor rgb="FFFFF9E6"/>
      </x:patternFill>
    </x:fill>
    <x:fill>
      <x:patternFill patternType="solid">
        <x:fgColor rgb="FFFEE2E2"/>
      </x:patternFill>
    </x:fill>
  </x:fills>
  <x:borders count="8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3" borderId="1" xfId="0" applyNumberFormat="1" applyFont="1" applyFill="1" applyBorder="1"/>
    <x:xf numFmtId="0" fontId="2" fillId="4" borderId="2" xfId="0" applyNumberFormat="1" applyFont="1" applyFill="1" applyBorder="1"/>
    <x:xf numFmtId="0" fontId="2" fillId="3" borderId="3" xfId="0" applyNumberFormat="1" applyFont="1" applyFill="1" applyBorder="1"/>
    <x:xf numFmtId="0" fontId="2" fillId="4" borderId="4" xfId="0" applyNumberFormat="1" applyFont="1" applyFill="1" applyBorder="1"/>
    <x:xf numFmtId="0" fontId="2" fillId="3" borderId="5" xfId="0" applyNumberFormat="1" applyFont="1" applyFill="1" applyBorder="1"/>
    <x:xf numFmtId="0" fontId="2" fillId="4" borderId="6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1" xfId="0" applyNumberFormat="1" applyFont="1" applyFill="1" applyBorder="1"/>
    <x:xf numFmtId="0" fontId="8" fillId="4" borderId="2" xfId="0" applyNumberFormat="1" applyFont="1" applyFill="1" applyBorder="1"/>
    <x:xf numFmtId="0" fontId="8" fillId="3" borderId="3" xfId="0" applyNumberFormat="1" applyFont="1" applyFill="1" applyBorder="1"/>
    <x:xf numFmtId="0" fontId="8" fillId="4" borderId="4" xfId="0" applyNumberFormat="1" applyFont="1" applyFill="1" applyBorder="1"/>
    <x:xf numFmtId="0" fontId="8" fillId="3" borderId="5" xfId="0" applyNumberFormat="1" applyFont="1" applyFill="1" applyBorder="1"/>
    <x:xf numFmtId="0" fontId="8" fillId="4" borderId="6" xfId="0" applyNumberFormat="1" applyFont="1" applyFill="1" applyBorder="1"/>
    <x:xf numFmtId="0" fontId="9" fillId="5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 applyAlignment="1">
      <x:alignment wrapText="1"/>
    </x:xf>
    <x:xf numFmtId="0" fontId="8" fillId="3" borderId="7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8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vertical="center" wrapText="1"/>
    </x:xf>
    <x:xf numFmtId="0" fontId="13" fillId="0" borderId="0" xfId="0" applyNumberFormat="1" applyFont="1" applyFill="1" applyBorder="1"/>
    <x:xf numFmtId="0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vertical="top" wrapText="1"/>
    </x:xf>
    <x:xf numFmtId="0" fontId="13" fillId="3" borderId="0" xfId="0" applyNumberFormat="1" applyFont="1" applyFill="1" applyBorder="1" applyAlignment="1">
      <x:alignment vertical="top" wrapText="1"/>
    </x:xf>
    <x:xf numFmtId="0" fontId="13" fillId="7" borderId="0" xfId="0" applyNumberFormat="1" applyFont="1" applyFill="1" applyBorder="1" applyAlignment="1">
      <x:alignment vertical="top" wrapText="1"/>
    </x:xf>
    <x:xf numFmtId="0" fontId="13" fillId="8" borderId="0" xfId="0" applyNumberFormat="1" applyFont="1" applyFill="1" applyBorder="1" applyAlignment="1">
      <x:alignment vertical="top" wrapText="1"/>
    </x:xf>
    <x:xf numFmtId="0" fontId="13" fillId="6" borderId="0" xfId="0" applyNumberFormat="1" applyFont="1" applyFill="1" applyBorder="1" applyAlignment="1">
      <x:alignment vertical="top" wrapText="1"/>
    </x:xf>
    <x:xf numFmtId="0" fontId="13" fillId="9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top" wrapText="1"/>
    </x:xf>
    <x:xf numFmtId="0" fontId="13" fillId="10" borderId="0" xfId="0" applyNumberFormat="1" applyFont="1" applyFill="1" applyBorder="1" applyAlignment="1">
      <x:alignment vertical="top" wrapText="1"/>
    </x:xf>
    <x:xf numFmtId="0" fontId="16" fillId="2" borderId="0" xfId="0" applyNumberFormat="1" applyFont="1" applyFill="1" applyBorder="1"/>
    <x:xf numFmtId="0" fontId="17" fillId="5" borderId="0" xfId="0" applyNumberFormat="1" applyFont="1" applyFill="1" applyBorder="1"/>
    <x:xf numFmtId="0" fontId="17" fillId="5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18" fillId="2" borderId="0" xfId="0" applyNumberFormat="1" applyFont="1" applyFill="1" applyBorder="1"/>
    <x:xf numFmtId="0" fontId="19" fillId="5" borderId="7" xfId="0" applyNumberFormat="1" applyFont="1" applyFill="1" applyBorder="1"/>
    <x:xf numFmtId="0" fontId="7" fillId="0" borderId="7" xfId="0" applyNumberFormat="1" applyFont="1" applyFill="1" applyBorder="1"/>
    <x:xf numFmtId="0" fontId="7" fillId="0" borderId="7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0" fillId="4" borderId="7" xfId="0" applyNumberFormat="1" applyFont="1" applyFill="1" applyBorder="1"/>
    <x:xf numFmtId="0" fontId="17" fillId="2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17" fillId="2" borderId="7" xfId="0" applyNumberFormat="1" applyFont="1" applyFill="1" applyBorder="1"/>
    <x:xf numFmtId="0" fontId="2" fillId="3" borderId="7" xfId="0" applyNumberFormat="1" applyFont="1" applyFill="1" applyBorder="1"/>
    <x:xf numFmtId="0" fontId="0" fillId="4" borderId="7" xfId="0" applyNumberFormat="1" applyFont="1" applyFill="1" applyBorder="1" applyAlignment="1">
      <x:alignment wrapText="1"/>
    </x:xf>
    <x:xf numFmtId="0" fontId="19" fillId="2" borderId="7" xfId="0" applyNumberFormat="1" applyFont="1" applyFill="1" applyBorder="1"/>
    <x:xf numFmtId="0" fontId="7" fillId="4" borderId="7" xfId="0" applyNumberFormat="1" applyFont="1" applyFill="1" applyBorder="1"/>
    <x:xf numFmtId="0" fontId="8" fillId="3" borderId="7" xfId="0" applyNumberFormat="1" applyFont="1" applyFill="1" applyBorder="1"/>
    <x:xf numFmtId="0" fontId="7" fillId="4" borderId="7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FF4CC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24902c71845eb" /><Relationship Type="http://schemas.openxmlformats.org/officeDocument/2006/relationships/theme" Target="/xl/theme/theme1.xml" Id="R5bf2bc9e5ceb490f" /><Relationship Type="http://schemas.openxmlformats.org/officeDocument/2006/relationships/sharedStrings" Target="/xl/sharedStrings.xml" Id="Re7b738c953754a6d" /><Relationship Type="http://schemas.openxmlformats.org/officeDocument/2006/relationships/worksheet" Target="/xl/worksheets/sheet1.xml" Id="R61731f42501644d3" /><Relationship Type="http://schemas.openxmlformats.org/officeDocument/2006/relationships/worksheet" Target="/xl/worksheets/sheet2.xml" Id="Rd23e9f677e444cfa" /><Relationship Type="http://schemas.openxmlformats.org/officeDocument/2006/relationships/worksheet" Target="/xl/worksheets/sheet3.xml" Id="R3a5483653d954b90" /><Relationship Type="http://schemas.openxmlformats.org/officeDocument/2006/relationships/worksheet" Target="/xl/worksheets/sheet4.xml" Id="R4a08f06f623a4b09" /></Relationships>
</file>

<file path=xl/tables/table1.xml><?xml version="1.0" encoding="utf-8"?>
<x:table xmlns:x="http://schemas.openxmlformats.org/spreadsheetml/2006/main" id="1" name="AdjudicationWorkbenchTable" displayName="AdjudicationWorkbenchTable" ref="A1:AC33" headerRowCount="1" totalsRowCount="0" totalsRowShown="0">
  <x:autoFilter ref="A1:AC33"/>
  <x:tableColumns count="29">
    <x:tableColumn id="1" name="packet_item_id"/>
    <x:tableColumn id="2" name="sample_kind"/>
    <x:tableColumn id="3" name="review_focus"/>
    <x:tableColumn id="4" name="review_item_id"/>
    <x:tableColumn id="5" name="candidate_id"/>
    <x:tableColumn id="6" name="state_summary"/>
    <x:tableColumn id="7" name="conversation"/>
    <x:tableColumn id="8" name="recent_activities"/>
    <x:tableColumn id="9" name="人工 decision"/>
    <x:tableColumn id="10" name="人工 target"/>
    <x:tableColumn id="11" name="人工 horizon"/>
    <x:tableColumn id="12" name="人工 evidence"/>
    <x:tableColumn id="13" name="人工 slots"/>
    <x:tableColumn id="14" name="草稿 decision"/>
    <x:tableColumn id="15" name="草稿 target"/>
    <x:tableColumn id="16" name="草稿 horizon"/>
    <x:tableColumn id="17" name="草稿 evidence"/>
    <x:tableColumn id="18" name="草稿 slots"/>
    <x:tableColumn id="19" name="tags"/>
    <x:tableColumn id="20" name="hard_negative_against"/>
    <x:tableColumn id="21" name="建议"/>
    <x:tableColumn id="22" name="建议依据"/>
    <x:tableColumn id="23" name="仲裁动作（填写）"/>
    <x:tableColumn id="24" name="final_decision（填写）"/>
    <x:tableColumn id="25" name="final_target（填写）"/>
    <x:tableColumn id="26" name="final_horizon（填写）"/>
    <x:tableColumn id="27" name="仲裁理由（填写）"/>
    <x:tableColumn id="28" name="taxonomy 修改说明（如需）"/>
    <x:tableColumn id="29" name="status（自动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7605bf11ff46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8" customHeight="1">
      <x:c r="A1" s="28" t="str">
        <x:v>Kindred 意图识别 · IE1.2 分歧仲裁</x:v>
      </x:c>
      <x:c r="B1" s="28"/>
      <x:c r="C1" s="28"/>
      <x:c r="D1" s="28"/>
      <x:c r="E1" s="28"/>
      <x:c r="F1" s="28"/>
      <x:c r="G1" s="28"/>
      <x:c r="H1" s="28"/>
    </x:row>
    <x:row r="2">
      <x:c r="A2" s="29"/>
      <x:c r="B2" s="29"/>
      <x:c r="C2" s="29"/>
      <x:c r="D2" s="29"/>
      <x:c r="E2" s="29"/>
      <x:c r="F2" s="29"/>
      <x:c r="G2" s="29"/>
      <x:c r="H2" s="29"/>
    </x:row>
    <x:row r="3">
      <x:c r="A3" s="30" t="str">
        <x:v>状态</x:v>
      </x:c>
      <x:c r="B3" s="31" t="str">
        <x:v>pending_adjudication</x:v>
      </x:c>
      <x:c r="C3" s="29"/>
      <x:c r="D3" s="29"/>
      <x:c r="E3" s="29"/>
      <x:c r="F3" s="29"/>
      <x:c r="G3" s="29"/>
      <x:c r="H3" s="29"/>
    </x:row>
    <x:row r="4">
      <x:c r="A4" s="32" t="str">
        <x:v>已完成</x:v>
      </x:c>
      <x:c r="B4" s="33" t="n">
        <x:f>SUM('仲裁工作台'!$AD$2:$AD$33)</x:f>
        <x:v>15</x:v>
      </x:c>
      <x:c r="C4" s="29"/>
      <x:c r="D4" s="29"/>
      <x:c r="E4" s="29"/>
      <x:c r="F4" s="29"/>
      <x:c r="G4" s="29"/>
      <x:c r="H4" s="29"/>
    </x:row>
    <x:row r="5">
      <x:c r="A5" s="32" t="str">
        <x:v>待仲裁</x:v>
      </x:c>
      <x:c r="B5" s="33" t="n">
        <x:f>SUM('仲裁工作台'!$AE$2:$AE$33)</x:f>
        <x:v>17</x:v>
      </x:c>
      <x:c r="C5" s="29"/>
      <x:c r="D5" s="29"/>
      <x:c r="E5" s="29"/>
      <x:c r="F5" s="29"/>
      <x:c r="G5" s="29"/>
      <x:c r="H5" s="29"/>
    </x:row>
    <x:row r="6">
      <x:c r="A6" s="32" t="str">
        <x:v>总样本</x:v>
      </x:c>
      <x:c r="B6" s="33" t="n">
        <x:v>32</x:v>
      </x:c>
      <x:c r="C6" s="29"/>
      <x:c r="D6" s="29"/>
      <x:c r="E6" s="29"/>
      <x:c r="F6" s="29"/>
      <x:c r="G6" s="29"/>
      <x:c r="H6" s="29"/>
    </x:row>
    <x:row r="7">
      <x:c r="A7" s="32" t="str">
        <x:v>必须人工决策</x:v>
      </x:c>
      <x:c r="B7" s="33" t="n">
        <x:v>17</x:v>
      </x:c>
      <x:c r="C7" s="29"/>
      <x:c r="D7" s="29"/>
      <x:c r="E7" s="29"/>
      <x:c r="F7" s="29"/>
      <x:c r="G7" s="29"/>
      <x:c r="H7" s="29"/>
    </x:row>
    <x:row r="8">
      <x:c r="A8" s="32" t="str">
        <x:v>其中 near-OOS</x:v>
      </x:c>
      <x:c r="B8" s="33" t="n">
        <x:v>7</x:v>
      </x:c>
      <x:c r="C8" s="29"/>
      <x:c r="D8" s="29"/>
      <x:c r="E8" s="29"/>
      <x:c r="F8" s="29"/>
      <x:c r="G8" s="29"/>
      <x:c r="H8" s="29"/>
    </x:row>
    <x:row r="9">
      <x:c r="A9" s="34" t="str">
        <x:v>一致项抽查</x:v>
      </x:c>
      <x:c r="B9" s="35" t="n">
        <x:v>15</x:v>
      </x:c>
      <x:c r="C9" s="29"/>
      <x:c r="D9" s="29"/>
      <x:c r="E9" s="29"/>
      <x:c r="F9" s="29"/>
      <x:c r="G9" s="29"/>
      <x:c r="H9" s="29"/>
    </x:row>
    <x:row r="10">
      <x:c r="A10" s="29"/>
      <x:c r="B10" s="29"/>
      <x:c r="C10" s="29"/>
      <x:c r="D10" s="29"/>
      <x:c r="E10" s="29"/>
      <x:c r="F10" s="29"/>
      <x:c r="G10" s="29"/>
      <x:c r="H10" s="29"/>
    </x:row>
    <x:row r="11">
      <x:c r="A11" s="36" t="str">
        <x:v>你需要做什么</x:v>
      </x:c>
      <x:c r="B11" s="36"/>
      <x:c r="C11" s="36"/>
      <x:c r="D11" s="36"/>
      <x:c r="E11" s="36"/>
      <x:c r="F11" s="36"/>
      <x:c r="G11" s="36"/>
      <x:c r="H11" s="36"/>
    </x:row>
    <x:row r="12" ht="38" customHeight="1">
      <x:c r="A12" s="37" t="str">
        <x:v>1</x:v>
      </x:c>
      <x:c r="B12" s="38" t="str">
        <x:v>在“仲裁工作台”筛选 status=待仲裁；15 条一致项已预填，只需抽查。</x:v>
      </x:c>
      <x:c r="C12" s="38" t="str"/>
      <x:c r="D12" s="38" t="str"/>
      <x:c r="E12" s="38" t="str"/>
      <x:c r="F12" s="38" t="str"/>
      <x:c r="G12" s="38" t="str"/>
      <x:c r="H12" s="38" t="str"/>
    </x:row>
    <x:row r="13" ht="38" customHeight="1">
      <x:c r="A13" s="37" t="str">
        <x:v>2</x:v>
      </x:c>
      <x:c r="B13" s="38" t="str">
        <x:v>先处理 7 条 near-OOS：决定目录外小众行为是保持 OOS、扩展 taxonomy，还是映射到相邻 activity。</x:v>
      </x:c>
      <x:c r="C13" s="38" t="str"/>
      <x:c r="D13" s="38" t="str"/>
      <x:c r="E13" s="38" t="str"/>
      <x:c r="F13" s="38" t="str"/>
      <x:c r="G13" s="38" t="str"/>
      <x:c r="H13" s="38" t="str"/>
    </x:row>
    <x:row r="14" ht="38" customHeight="1">
      <x:c r="A14" s="37" t="str">
        <x:v>3</x:v>
      </x:c>
      <x:c r="B14" s="38" t="str">
        <x:v>其余 10 条检查 decision 规则或 target 下拉误选；建议只是当前规则倾向，不是正式 Gold。</x:v>
      </x:c>
      <x:c r="C14" s="38" t="str"/>
      <x:c r="D14" s="38" t="str"/>
      <x:c r="E14" s="38" t="str"/>
      <x:c r="F14" s="38" t="str"/>
      <x:c r="G14" s="38" t="str"/>
      <x:c r="H14" s="38" t="str"/>
    </x:row>
    <x:row r="15" ht="38" customHeight="1">
      <x:c r="A15" s="37" t="str">
        <x:v>4</x:v>
      </x:c>
      <x:c r="B15" s="38" t="str">
        <x:v>填写仲裁动作、final decision/target/horizon 和仲裁理由。非 in_scope 必须清空 final_target。</x:v>
      </x:c>
      <x:c r="C15" s="38" t="str"/>
      <x:c r="D15" s="38" t="str"/>
      <x:c r="E15" s="38" t="str"/>
      <x:c r="F15" s="38" t="str"/>
      <x:c r="G15" s="38" t="str"/>
      <x:c r="H15" s="38" t="str"/>
    </x:row>
    <x:row r="16" ht="38" customHeight="1">
      <x:c r="A16" s="37" t="str">
        <x:v>5</x:v>
      </x:c>
      <x:c r="B16" s="38" t="str">
        <x:v>只有选择“修改分类规则”时才填写 taxonomy 修改说明；“重写或删除样本”无需 final label。</x:v>
      </x:c>
      <x:c r="C16" s="38" t="str"/>
      <x:c r="D16" s="38" t="str"/>
      <x:c r="E16" s="38" t="str"/>
      <x:c r="F16" s="38" t="str"/>
      <x:c r="G16" s="38" t="str"/>
      <x:c r="H16" s="38" t="str"/>
    </x:row>
    <x:row r="17">
      <x:c r="A17" s="29"/>
      <x:c r="B17" s="29"/>
      <x:c r="C17" s="29"/>
      <x:c r="D17" s="29"/>
      <x:c r="E17" s="29"/>
      <x:c r="F17" s="29"/>
      <x:c r="G17" s="29"/>
      <x:c r="H17" s="29"/>
    </x:row>
    <x:row r="18">
      <x:c r="A18" s="36" t="str">
        <x:v>仲裁动作</x:v>
      </x:c>
      <x:c r="B18" s="36"/>
      <x:c r="C18" s="36"/>
      <x:c r="D18" s="36"/>
      <x:c r="E18" s="36"/>
      <x:c r="F18" s="36"/>
      <x:c r="G18" s="36"/>
      <x:c r="H18" s="36"/>
    </x:row>
    <x:row r="19" ht="46" customHeight="1">
      <x:c r="A19" s="39" t="str">
        <x:v>确认一致标签</x:v>
      </x:c>
      <x:c r="B19" s="40" t="str">
        <x:v>仅用于 agreement_audit；沿用人工与草稿一致的受控标签。</x:v>
      </x:c>
      <x:c r="C19" s="29"/>
      <x:c r="D19" s="29"/>
      <x:c r="E19" s="29"/>
      <x:c r="F19" s="29"/>
      <x:c r="G19" s="29"/>
      <x:c r="H19" s="29"/>
    </x:row>
    <x:row r="20" ht="46" customHeight="1">
      <x:c r="A20" s="39" t="str">
        <x:v>接受人工标签</x:v>
      </x:c>
      <x:c r="B20" s="40" t="str">
        <x:v>最终标签采用人工盲审判断。</x:v>
      </x:c>
      <x:c r="C20" s="29"/>
      <x:c r="D20" s="29"/>
      <x:c r="E20" s="29"/>
      <x:c r="F20" s="29"/>
      <x:c r="G20" s="29"/>
      <x:c r="H20" s="29"/>
    </x:row>
    <x:row r="21" ht="46" customHeight="1">
      <x:c r="A21" s="39" t="str">
        <x:v>保留草稿标签</x:v>
      </x:c>
      <x:c r="B21" s="40" t="str">
        <x:v>最终标签采用 LLM 辅助草稿判断。</x:v>
      </x:c>
      <x:c r="C21" s="29"/>
      <x:c r="D21" s="29"/>
      <x:c r="E21" s="29"/>
      <x:c r="F21" s="29"/>
      <x:c r="G21" s="29"/>
      <x:c r="H21" s="29"/>
    </x:row>
    <x:row r="22" ht="46" customHeight="1">
      <x:c r="A22" s="39" t="str">
        <x:v>修改分类规则</x:v>
      </x:c>
      <x:c r="B22" s="40" t="str">
        <x:v>先确定 final label，并明确需要修改的 taxonomy 或 decision 规则。</x:v>
      </x:c>
      <x:c r="C22" s="29"/>
      <x:c r="D22" s="29"/>
      <x:c r="E22" s="29"/>
      <x:c r="F22" s="29"/>
      <x:c r="G22" s="29"/>
      <x:c r="H22" s="29"/>
    </x:row>
    <x:row r="23" ht="46" customHeight="1">
      <x:c r="A23" s="39" t="str">
        <x:v>重写或删除样本</x:v>
      </x:c>
      <x:c r="B23" s="40" t="str">
        <x:v>样本本身无法稳定标注，不进入本版正式 Gold。</x:v>
      </x:c>
      <x:c r="C23" s="29"/>
      <x:c r="D23" s="29"/>
      <x:c r="E23" s="29"/>
      <x:c r="F23" s="29"/>
      <x:c r="G23" s="29"/>
      <x:c r="H23" s="29"/>
    </x:row>
    <x:row r="24">
      <x:c r="A24" s="29"/>
      <x:c r="B24" s="29"/>
      <x:c r="C24" s="29"/>
      <x:c r="D24" s="29"/>
      <x:c r="E24" s="29"/>
      <x:c r="F24" s="29"/>
      <x:c r="G24" s="29"/>
      <x:c r="H24" s="29"/>
    </x:row>
    <x:row r="25" ht="36" customHeight="1">
      <x:c r="A25" s="41" t="str">
        <x:v>重要</x:v>
      </x:c>
      <x:c r="B25" s="42" t="str">
        <x:v>人工标签和 LLM 辅助草稿都不是自动 Gold。只有本次仲裁完成并冻结 provenance 后，受控字段才成为评测标准。</x:v>
      </x:c>
      <x:c r="C25" s="42" t="str"/>
      <x:c r="D25" s="42" t="str"/>
      <x:c r="E25" s="42" t="str"/>
      <x:c r="F25" s="42" t="str"/>
      <x:c r="G25" s="42" t="str"/>
      <x:c r="H25" s="42" t="str"/>
    </x:row>
    <x:row r="26" ht="36" customHeight="1">
      <x:c r="A26" s="41" t="str">
        <x:v>自由文本</x:v>
      </x:c>
      <x:c r="B26" s="42" t="str">
        <x:v>evidence_quote 只需是上下文中的有效连续片段；desired_experience/object 不做字符串完全一致仲裁。</x:v>
      </x:c>
      <x:c r="C26" s="42" t="str"/>
      <x:c r="D26" s="42" t="str"/>
      <x:c r="E26" s="42" t="str"/>
      <x:c r="F26" s="42" t="str"/>
      <x:c r="G26" s="42" t="str"/>
      <x:c r="H26" s="42" t="str"/>
    </x:row>
  </x:sheetData>
  <x:mergeCells>
    <x:mergeCell ref="A1:H1"/>
    <x:mergeCell ref="A11:H11"/>
    <x:mergeCell ref="B12:H12"/>
    <x:mergeCell ref="B13:H13"/>
    <x:mergeCell ref="B14:H14"/>
    <x:mergeCell ref="B15:H15"/>
    <x:mergeCell ref="B16:H16"/>
    <x:mergeCell ref="A18:H18"/>
    <x:mergeCell ref="B25:H25"/>
    <x:mergeCell ref="B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0" max="30" width="3" hidden="0" customWidth="1"/>
    <x:col min="31" max="31" width="3" hidden="0" customWidth="1"/>
    <x:col min="1" max="1" width="20" hidden="0" customWidth="1"/>
    <x:col min="2" max="2" width="25" hidden="0" customWidth="1"/>
    <x:col min="3" max="3" width="28" hidden="0" customWidth="1"/>
    <x:col min="4" max="4" width="23" hidden="0" customWidth="1"/>
    <x:col min="5" max="5" width="23" hidden="0" customWidth="1"/>
    <x:col min="6" max="6" width="42" hidden="0" customWidth="1"/>
    <x:col min="7" max="7" width="58" hidden="0" customWidth="1"/>
    <x:col min="8" max="8" width="22" hidden="0" customWidth="1"/>
    <x:col min="9" max="9" width="18" hidden="0" customWidth="1"/>
    <x:col min="10" max="10" width="24" hidden="0" customWidth="1"/>
    <x:col min="11" max="11" width="16" hidden="0" customWidth="1"/>
    <x:col min="12" max="12" width="38" hidden="0" customWidth="1"/>
    <x:col min="13" max="13" width="28" hidden="0" customWidth="1"/>
    <x:col min="14" max="14" width="18" hidden="0" customWidth="1"/>
    <x:col min="15" max="15" width="24" hidden="0" customWidth="1"/>
    <x:col min="16" max="16" width="16" hidden="0" customWidth="1"/>
    <x:col min="17" max="17" width="38" hidden="0" customWidth="1"/>
    <x:col min="18" max="18" width="28" hidden="0" customWidth="1"/>
    <x:col min="19" max="19" width="34" hidden="0" customWidth="1"/>
    <x:col min="20" max="20" width="28" hidden="0" customWidth="1"/>
    <x:col min="21" max="21" width="29" hidden="0" customWidth="1"/>
    <x:col min="22" max="22" width="46" hidden="0" customWidth="1"/>
    <x:col min="23" max="23" width="24" hidden="0" customWidth="1"/>
    <x:col min="24" max="24" width="22" hidden="0" customWidth="1"/>
    <x:col min="25" max="25" width="24" hidden="0" customWidth="1"/>
    <x:col min="26" max="26" width="19" hidden="0" customWidth="1"/>
    <x:col min="27" max="27" width="44" hidden="0" customWidth="1"/>
    <x:col min="28" max="28" width="44" hidden="0" customWidth="1"/>
    <x:col min="29" max="29" width="26" hidden="0" customWidth="1"/>
  </x:cols>
  <x:sheetData>
    <x:row r="1" ht="40" customHeight="1">
      <x:c r="A1" s="45" t="str">
        <x:v>packet_item_id</x:v>
      </x:c>
      <x:c r="B1" s="45" t="str">
        <x:v>sample_kind</x:v>
      </x:c>
      <x:c r="C1" s="45" t="str">
        <x:v>review_focus</x:v>
      </x:c>
      <x:c r="D1" s="45" t="str">
        <x:v>review_item_id</x:v>
      </x:c>
      <x:c r="E1" s="45" t="str">
        <x:v>candidate_id</x:v>
      </x:c>
      <x:c r="F1" s="45" t="str">
        <x:v>state_summary</x:v>
      </x:c>
      <x:c r="G1" s="45" t="str">
        <x:v>conversation</x:v>
      </x:c>
      <x:c r="H1" s="45" t="str">
        <x:v>recent_activities</x:v>
      </x:c>
      <x:c r="I1" s="45" t="str">
        <x:v>人工 decision</x:v>
      </x:c>
      <x:c r="J1" s="45" t="str">
        <x:v>人工 target</x:v>
      </x:c>
      <x:c r="K1" s="45" t="str">
        <x:v>人工 horizon</x:v>
      </x:c>
      <x:c r="L1" s="45" t="str">
        <x:v>人工 evidence</x:v>
      </x:c>
      <x:c r="M1" s="45" t="str">
        <x:v>人工 slots</x:v>
      </x:c>
      <x:c r="N1" s="45" t="str">
        <x:v>草稿 decision</x:v>
      </x:c>
      <x:c r="O1" s="45" t="str">
        <x:v>草稿 target</x:v>
      </x:c>
      <x:c r="P1" s="45" t="str">
        <x:v>草稿 horizon</x:v>
      </x:c>
      <x:c r="Q1" s="45" t="str">
        <x:v>草稿 evidence</x:v>
      </x:c>
      <x:c r="R1" s="45" t="str">
        <x:v>草稿 slots</x:v>
      </x:c>
      <x:c r="S1" s="45" t="str">
        <x:v>tags</x:v>
      </x:c>
      <x:c r="T1" s="45" t="str">
        <x:v>hard_negative_against</x:v>
      </x:c>
      <x:c r="U1" s="45" t="str">
        <x:v>建议</x:v>
      </x:c>
      <x:c r="V1" s="45" t="str">
        <x:v>建议依据</x:v>
      </x:c>
      <x:c r="W1" s="45" t="str">
        <x:v>仲裁动作（填写）</x:v>
      </x:c>
      <x:c r="X1" s="45" t="str">
        <x:v>final_decision（填写）</x:v>
      </x:c>
      <x:c r="Y1" s="45" t="str">
        <x:v>final_target（填写）</x:v>
      </x:c>
      <x:c r="Z1" s="45" t="str">
        <x:v>final_horizon（填写）</x:v>
      </x:c>
      <x:c r="AA1" s="45" t="str">
        <x:v>仲裁理由（填写）</x:v>
      </x:c>
      <x:c r="AB1" s="45" t="str">
        <x:v>taxonomy 修改说明（如需）</x:v>
      </x:c>
      <x:c r="AC1" s="45" t="str">
        <x:v>status（自动）</x:v>
      </x:c>
      <x:c r="AD1" s="54" t="str">
        <x:v>complete_flag</x:v>
      </x:c>
      <x:c r="AE1" s="54" t="str">
        <x:v>pending_flag</x:v>
      </x:c>
    </x:row>
    <x:row r="2" ht="96" customHeight="1">
      <x:c r="A2" s="48" t="str">
        <x:v>adjudication-0001</x:v>
      </x:c>
      <x:c r="B2" s="48" t="str">
        <x:v>hierarchical_disagreement</x:v>
      </x:c>
      <x:c r="C2" s="48" t="str">
        <x:v>near_oos_product_boundary</x:v>
      </x:c>
      <x:c r="D2" s="48" t="str">
        <x:v>review-initial-0065</x:v>
      </x:c>
      <x:c r="E2" s="48" t="str">
        <x:v>draft-kir-pilot-0087</x:v>
      </x:c>
      <x:c r="F2" s="49" t="str">
        <x:v>正在考虑下一项活动。</x:v>
      </x:c>
      <x:c r="G2" s="49" t="str">
        <x:v>Kindred: 上一项活动已经结束了。
User: 不要自动沿用刚才的活动，接下来呢？
Kindred: 现在发布一篇公开的周末生活帖子。</x:v>
      </x:c>
      <x:c r="H2" s="49" t="str"/>
      <x:c r="I2" s="56" t="str">
        <x:v>in_scope</x:v>
      </x:c>
      <x:c r="J2" s="56" t="str">
        <x:v>play_xiaohongshu</x:v>
      </x:c>
      <x:c r="K2" s="50" t="str">
        <x:v>now</x:v>
      </x:c>
      <x:c r="L2" s="50" t="str">
        <x:v>发布一篇公开的周末生活帖子</x:v>
      </x:c>
      <x:c r="M2" s="50" t="str">
        <x:v>experience=让他人看到自己
object=帖子</x:v>
      </x:c>
      <x:c r="N2" s="56" t="str">
        <x:v>oos</x:v>
      </x:c>
      <x:c r="O2" s="56" t="str"/>
      <x:c r="P2" s="51" t="str">
        <x:v>now</x:v>
      </x:c>
      <x:c r="Q2" s="51" t="str">
        <x:v>现在发布一篇公开的周末生活帖子。</x:v>
      </x:c>
      <x:c r="R2" s="51" t="str">
        <x:v>experience=现在发布一篇公开的周末生活帖子</x:v>
      </x:c>
      <x:c r="S2" s="48" t="str">
        <x:v>multi_turn, near_oos, hard_negative, hypothesized_weak_model_probe, slot_required, multi_turn_recency</x:v>
      </x:c>
      <x:c r="T2" s="48" t="str">
        <x:v>play_xiaohongshu</x:v>
      </x:c>
      <x:c r="U2" s="52" t="str">
        <x:v>product_policy_required</x:v>
      </x:c>
      <x:c r="V2" s="52" t="str">
        <x:v>是否把目录外但相邻的行为映射为小众 activity, 是产品 taxonomy 边界而非客观唯一答案。</x:v>
      </x:c>
      <x:c r="W2" s="53" t="str"/>
      <x:c r="X2" s="53" t="str"/>
      <x:c r="Y2" s="53" t="str"/>
      <x:c r="Z2" s="53" t="str">
        <x:v>now</x:v>
      </x:c>
      <x:c r="AA2" s="53" t="str"/>
      <x:c r="AB2" s="53" t="str"/>
      <x:c r="AC2" s="51" t="str">
        <x:f>IF(W2="","待仲裁",IF(W2="重写或删除样本",IF(AA2="","缺 rationale","完成"),IF(X2="","缺 final_decision",IF(Z2="","缺 final_horizon",IF(AND(X2="in_scope",Y2=""),"缺 final_target",IF(AND(X2&lt;&gt;"in_scope",Y2&lt;&gt;""),"非 in_scope 请清空 target",IF(AA2="","缺 rationale",IF(AND(W2="修改分类规则",AB2=""),"缺 taxonomy 说明","完成"))))))))</x:f>
        <x:v>待仲裁</x:v>
      </x:c>
      <x:c r="AD2" s="55" t="n">
        <x:f>IF(AC2="完成",1,0)</x:f>
        <x:v>0</x:v>
      </x:c>
      <x:c r="AE2" s="55" t="n">
        <x:f>IF(AC2="完成",0,1)</x:f>
        <x:v>1</x:v>
      </x:c>
    </x:row>
    <x:row r="3" ht="96" customHeight="1">
      <x:c r="A3" s="48" t="str">
        <x:v>adjudication-0002</x:v>
      </x:c>
      <x:c r="B3" s="48" t="str">
        <x:v>hierarchical_disagreement</x:v>
      </x:c>
      <x:c r="C3" s="48" t="str">
        <x:v>near_oos_product_boundary</x:v>
      </x:c>
      <x:c r="D3" s="48" t="str">
        <x:v>review-initial-0094</x:v>
      </x:c>
      <x:c r="E3" s="48" t="str">
        <x:v>draft-kir-pilot-0081</x:v>
      </x:c>
      <x:c r="F3" s="49" t="str">
        <x:v>正在考虑下一项活动。</x:v>
      </x:c>
      <x:c r="G3" s="49" t="str">
        <x:v>Kindred: 我刚才还考虑过先休息。
User: 那只是之前的候选，你现在怎么决定？
Kindred: 现在只给现有雨景照片调色裁剪，不创作新图。</x:v>
      </x:c>
      <x:c r="H3" s="49" t="str"/>
      <x:c r="I3" s="56" t="str">
        <x:v>in_scope</x:v>
      </x:c>
      <x:c r="J3" s="56" t="str">
        <x:v>create_picture</x:v>
      </x:c>
      <x:c r="K3" s="50" t="str">
        <x:v>now</x:v>
      </x:c>
      <x:c r="L3" s="50" t="str">
        <x:v>给现有雨景照片调色裁剪</x:v>
      </x:c>
      <x:c r="M3" s="50" t="str"/>
      <x:c r="N3" s="56" t="str">
        <x:v>oos</x:v>
      </x:c>
      <x:c r="O3" s="56" t="str"/>
      <x:c r="P3" s="51" t="str">
        <x:v>now</x:v>
      </x:c>
      <x:c r="Q3" s="51" t="str">
        <x:v>现在只给现有雨景照片调色裁剪，不创作新图。</x:v>
      </x:c>
      <x:c r="R3" s="51" t="str">
        <x:v>experience=现在只给现有雨景照片调色裁剪，不创作新图</x:v>
      </x:c>
      <x:c r="S3" s="48" t="str">
        <x:v>multi_turn, near_oos, hard_negative, hypothesized_weak_model_probe, slot_required, multi_turn_override</x:v>
      </x:c>
      <x:c r="T3" s="48" t="str">
        <x:v>create_picture</x:v>
      </x:c>
      <x:c r="U3" s="52" t="str">
        <x:v>product_policy_required</x:v>
      </x:c>
      <x:c r="V3" s="52" t="str">
        <x:v>是否把目录外但相邻的行为映射为小众 activity, 是产品 taxonomy 边界而非客观唯一答案。</x:v>
      </x:c>
      <x:c r="W3" s="53" t="str"/>
      <x:c r="X3" s="53" t="str"/>
      <x:c r="Y3" s="53" t="str"/>
      <x:c r="Z3" s="53" t="str">
        <x:v>now</x:v>
      </x:c>
      <x:c r="AA3" s="53" t="str"/>
      <x:c r="AB3" s="53" t="str"/>
      <x:c r="AC3" s="51" t="str">
        <x:f>IF(W3="","待仲裁",IF(W3="重写或删除样本",IF(AA3="","缺 rationale","完成"),IF(X3="","缺 final_decision",IF(Z3="","缺 final_horizon",IF(AND(X3="in_scope",Y3=""),"缺 final_target",IF(AND(X3&lt;&gt;"in_scope",Y3&lt;&gt;""),"非 in_scope 请清空 target",IF(AA3="","缺 rationale",IF(AND(W3="修改分类规则",AB3=""),"缺 taxonomy 说明","完成"))))))))</x:f>
        <x:v>待仲裁</x:v>
      </x:c>
      <x:c r="AD3" s="55" t="n">
        <x:f>IF(AC3="完成",1,0)</x:f>
        <x:v>0</x:v>
      </x:c>
      <x:c r="AE3" s="55" t="n">
        <x:f>IF(AC3="完成",0,1)</x:f>
        <x:v>1</x:v>
      </x:c>
    </x:row>
    <x:row r="4" ht="96" customHeight="1">
      <x:c r="A4" s="48" t="str">
        <x:v>adjudication-0003</x:v>
      </x:c>
      <x:c r="B4" s="48" t="str">
        <x:v>hierarchical_disagreement</x:v>
      </x:c>
      <x:c r="C4" s="48" t="str">
        <x:v>near_oos_product_boundary</x:v>
      </x:c>
      <x:c r="D4" s="48" t="str">
        <x:v>review-initial-0110</x:v>
      </x:c>
      <x:c r="E4" s="48" t="str">
        <x:v>draft-kir-pilot-0094</x:v>
      </x:c>
      <x:c r="F4" s="49" t="str">
        <x:v>想下楼在同一街区慢跑十分钟。</x:v>
      </x:c>
      <x:c r="G4" s="49" t="str"/>
      <x:c r="H4" s="49" t="str"/>
      <x:c r="I4" s="56" t="str">
        <x:v>in_scope</x:v>
      </x:c>
      <x:c r="J4" s="56" t="str">
        <x:v>take_a_walk</x:v>
      </x:c>
      <x:c r="K4" s="50" t="str">
        <x:v>now</x:v>
      </x:c>
      <x:c r="L4" s="50" t="str">
        <x:v>慢跑十分钟</x:v>
      </x:c>
      <x:c r="M4" s="50" t="str">
        <x:v>object=同一街区</x:v>
      </x:c>
      <x:c r="N4" s="56" t="str">
        <x:v>oos</x:v>
      </x:c>
      <x:c r="O4" s="56" t="str"/>
      <x:c r="P4" s="51" t="str">
        <x:v>now</x:v>
      </x:c>
      <x:c r="Q4" s="51" t="str">
        <x:v>想下楼在同一街区慢跑十分钟。</x:v>
      </x:c>
      <x:c r="R4" s="51" t="str">
        <x:v>experience=想下楼在同一街区慢跑十分钟</x:v>
      </x:c>
      <x:c r="S4" s="48" t="str">
        <x:v>single_turn, near_oos, hard_negative, hypothesized_weak_model_probe, slot_required</x:v>
      </x:c>
      <x:c r="T4" s="48" t="str">
        <x:v>take_a_walk</x:v>
      </x:c>
      <x:c r="U4" s="52" t="str">
        <x:v>product_policy_required</x:v>
      </x:c>
      <x:c r="V4" s="52" t="str">
        <x:v>是否把目录外但相邻的行为映射为小众 activity, 是产品 taxonomy 边界而非客观唯一答案。</x:v>
      </x:c>
      <x:c r="W4" s="53" t="str"/>
      <x:c r="X4" s="53" t="str"/>
      <x:c r="Y4" s="53" t="str"/>
      <x:c r="Z4" s="53" t="str">
        <x:v>now</x:v>
      </x:c>
      <x:c r="AA4" s="53" t="str"/>
      <x:c r="AB4" s="53" t="str"/>
      <x:c r="AC4" s="51" t="str">
        <x:f>IF(W4="","待仲裁",IF(W4="重写或删除样本",IF(AA4="","缺 rationale","完成"),IF(X4="","缺 final_decision",IF(Z4="","缺 final_horizon",IF(AND(X4="in_scope",Y4=""),"缺 final_target",IF(AND(X4&lt;&gt;"in_scope",Y4&lt;&gt;""),"非 in_scope 请清空 target",IF(AA4="","缺 rationale",IF(AND(W4="修改分类规则",AB4=""),"缺 taxonomy 说明","完成"))))))))</x:f>
        <x:v>待仲裁</x:v>
      </x:c>
      <x:c r="AD4" s="55" t="n">
        <x:f>IF(AC4="完成",1,0)</x:f>
        <x:v>0</x:v>
      </x:c>
      <x:c r="AE4" s="55" t="n">
        <x:f>IF(AC4="完成",0,1)</x:f>
        <x:v>1</x:v>
      </x:c>
    </x:row>
    <x:row r="5" ht="96" customHeight="1">
      <x:c r="A5" s="48" t="str">
        <x:v>adjudication-0004</x:v>
      </x:c>
      <x:c r="B5" s="48" t="str">
        <x:v>hierarchical_disagreement</x:v>
      </x:c>
      <x:c r="C5" s="48" t="str">
        <x:v>near_oos_product_boundary</x:v>
      </x:c>
      <x:c r="D5" s="48" t="str">
        <x:v>review-initial-0115</x:v>
      </x:c>
      <x:c r="E5" s="48" t="str">
        <x:v>draft-kir-pilot-0082</x:v>
      </x:c>
      <x:c r="F5" s="49" t="str">
        <x:v>想把已有机器人海报上的文字和尺寸改一下。</x:v>
      </x:c>
      <x:c r="G5" s="49" t="str"/>
      <x:c r="H5" s="49" t="str"/>
      <x:c r="I5" s="56" t="str">
        <x:v>in_scope</x:v>
      </x:c>
      <x:c r="J5" s="56" t="str">
        <x:v>create_picture</x:v>
      </x:c>
      <x:c r="K5" s="50" t="str">
        <x:v>now</x:v>
      </x:c>
      <x:c r="L5" s="50" t="str">
        <x:v>把已有机器人海报上的文字和尺寸改</x:v>
      </x:c>
      <x:c r="M5" s="50" t="str"/>
      <x:c r="N5" s="56" t="str">
        <x:v>oos</x:v>
      </x:c>
      <x:c r="O5" s="56" t="str"/>
      <x:c r="P5" s="51" t="str">
        <x:v>now</x:v>
      </x:c>
      <x:c r="Q5" s="51" t="str">
        <x:v>想把已有机器人海报上的文字和尺寸改一下。</x:v>
      </x:c>
      <x:c r="R5" s="51" t="str">
        <x:v>experience=想把已有机器人海报上的文字和尺寸改一下</x:v>
      </x:c>
      <x:c r="S5" s="48" t="str">
        <x:v>single_turn, near_oos, hard_negative, hypothesized_weak_model_probe, slot_required</x:v>
      </x:c>
      <x:c r="T5" s="48" t="str">
        <x:v>create_picture</x:v>
      </x:c>
      <x:c r="U5" s="52" t="str">
        <x:v>product_policy_required</x:v>
      </x:c>
      <x:c r="V5" s="52" t="str">
        <x:v>是否把目录外但相邻的行为映射为小众 activity, 是产品 taxonomy 边界而非客观唯一答案。</x:v>
      </x:c>
      <x:c r="W5" s="53" t="str"/>
      <x:c r="X5" s="53" t="str"/>
      <x:c r="Y5" s="53" t="str"/>
      <x:c r="Z5" s="53" t="str">
        <x:v>now</x:v>
      </x:c>
      <x:c r="AA5" s="53" t="str"/>
      <x:c r="AB5" s="53" t="str"/>
      <x:c r="AC5" s="51" t="str">
        <x:f>IF(W5="","待仲裁",IF(W5="重写或删除样本",IF(AA5="","缺 rationale","完成"),IF(X5="","缺 final_decision",IF(Z5="","缺 final_horizon",IF(AND(X5="in_scope",Y5=""),"缺 final_target",IF(AND(X5&lt;&gt;"in_scope",Y5&lt;&gt;""),"非 in_scope 请清空 target",IF(AA5="","缺 rationale",IF(AND(W5="修改分类规则",AB5=""),"缺 taxonomy 说明","完成"))))))))</x:f>
        <x:v>待仲裁</x:v>
      </x:c>
      <x:c r="AD5" s="55" t="n">
        <x:f>IF(AC5="完成",1,0)</x:f>
        <x:v>0</x:v>
      </x:c>
      <x:c r="AE5" s="55" t="n">
        <x:f>IF(AC5="完成",0,1)</x:f>
        <x:v>1</x:v>
      </x:c>
    </x:row>
    <x:row r="6" ht="96" customHeight="1">
      <x:c r="A6" s="48" t="str">
        <x:v>adjudication-0005</x:v>
      </x:c>
      <x:c r="B6" s="48" t="str">
        <x:v>hierarchical_disagreement</x:v>
      </x:c>
      <x:c r="C6" s="48" t="str">
        <x:v>near_oos_product_boundary</x:v>
      </x:c>
      <x:c r="D6" s="48" t="str">
        <x:v>review-initial-0118</x:v>
      </x:c>
      <x:c r="E6" s="48" t="str">
        <x:v>draft-kir-pilot-0088</x:v>
      </x:c>
      <x:c r="F6" s="49" t="str">
        <x:v>给同一位博主私信询问穿搭链接。</x:v>
      </x:c>
      <x:c r="G6" s="49" t="str"/>
      <x:c r="H6" s="49" t="str"/>
      <x:c r="I6" s="56" t="str">
        <x:v>in_scope</x:v>
      </x:c>
      <x:c r="J6" s="56" t="str">
        <x:v>play_xiaohongshu</x:v>
      </x:c>
      <x:c r="K6" s="50" t="str">
        <x:v>now</x:v>
      </x:c>
      <x:c r="L6" s="50" t="str">
        <x:v>给同一位博主私信</x:v>
      </x:c>
      <x:c r="M6" s="50" t="str">
        <x:v>object=私信询问</x:v>
      </x:c>
      <x:c r="N6" s="56" t="str">
        <x:v>oos</x:v>
      </x:c>
      <x:c r="O6" s="56" t="str"/>
      <x:c r="P6" s="51" t="str">
        <x:v>now</x:v>
      </x:c>
      <x:c r="Q6" s="51" t="str">
        <x:v>给同一位博主私信询问穿搭链接。</x:v>
      </x:c>
      <x:c r="R6" s="51" t="str">
        <x:v>experience=给同一位博主私信询问穿搭链接</x:v>
      </x:c>
      <x:c r="S6" s="48" t="str">
        <x:v>single_turn, near_oos, hard_negative, hypothesized_weak_model_probe, slot_required</x:v>
      </x:c>
      <x:c r="T6" s="48" t="str">
        <x:v>play_xiaohongshu</x:v>
      </x:c>
      <x:c r="U6" s="52" t="str">
        <x:v>product_policy_required</x:v>
      </x:c>
      <x:c r="V6" s="52" t="str">
        <x:v>是否把目录外但相邻的行为映射为小众 activity, 是产品 taxonomy 边界而非客观唯一答案。</x:v>
      </x:c>
      <x:c r="W6" s="53" t="str"/>
      <x:c r="X6" s="53" t="str"/>
      <x:c r="Y6" s="53" t="str"/>
      <x:c r="Z6" s="53" t="str">
        <x:v>now</x:v>
      </x:c>
      <x:c r="AA6" s="53" t="str"/>
      <x:c r="AB6" s="53" t="str"/>
      <x:c r="AC6" s="51" t="str">
        <x:f>IF(W6="","待仲裁",IF(W6="重写或删除样本",IF(AA6="","缺 rationale","完成"),IF(X6="","缺 final_decision",IF(Z6="","缺 final_horizon",IF(AND(X6="in_scope",Y6=""),"缺 final_target",IF(AND(X6&lt;&gt;"in_scope",Y6&lt;&gt;""),"非 in_scope 请清空 target",IF(AA6="","缺 rationale",IF(AND(W6="修改分类规则",AB6=""),"缺 taxonomy 说明","完成"))))))))</x:f>
        <x:v>待仲裁</x:v>
      </x:c>
      <x:c r="AD6" s="55" t="n">
        <x:f>IF(AC6="完成",1,0)</x:f>
        <x:v>0</x:v>
      </x:c>
      <x:c r="AE6" s="55" t="n">
        <x:f>IF(AC6="完成",0,1)</x:f>
        <x:v>1</x:v>
      </x:c>
    </x:row>
    <x:row r="7" ht="96" customHeight="1">
      <x:c r="A7" s="48" t="str">
        <x:v>adjudication-0006</x:v>
      </x:c>
      <x:c r="B7" s="48" t="str">
        <x:v>hierarchical_disagreement</x:v>
      </x:c>
      <x:c r="C7" s="48" t="str">
        <x:v>near_oos_product_boundary</x:v>
      </x:c>
      <x:c r="D7" s="48" t="str">
        <x:v>review-initial-0129</x:v>
      </x:c>
      <x:c r="E7" s="48" t="str">
        <x:v>draft-kir-pilot-0085</x:v>
      </x:c>
      <x:c r="F7" s="49" t="str">
        <x:v>正在考虑下一项活动。</x:v>
      </x:c>
      <x:c r="G7" s="49" t="str">
        <x:v>Kindred: 我原来想晚点再决定。
User: 以你此刻的决定为准。
Kindred: 现在在厨房整理食谱，今天不做饭也不吃。</x:v>
      </x:c>
      <x:c r="H7" s="49" t="str"/>
      <x:c r="I7" s="56" t="str">
        <x:v>no_intent</x:v>
      </x:c>
      <x:c r="J7" s="50" t="str"/>
      <x:c r="K7" s="50" t="str">
        <x:v>now</x:v>
      </x:c>
      <x:c r="L7" s="50" t="str">
        <x:v>今天不做饭也不吃</x:v>
      </x:c>
      <x:c r="M7" s="50" t="str">
        <x:v>object=食谱</x:v>
      </x:c>
      <x:c r="N7" s="56" t="str">
        <x:v>oos</x:v>
      </x:c>
      <x:c r="O7" s="51" t="str"/>
      <x:c r="P7" s="51" t="str">
        <x:v>now</x:v>
      </x:c>
      <x:c r="Q7" s="51" t="str">
        <x:v>现在在厨房整理食谱，今天不做饭也不吃。</x:v>
      </x:c>
      <x:c r="R7" s="51" t="str">
        <x:v>experience=现在在厨房整理食谱，今天不做饭也不吃</x:v>
      </x:c>
      <x:c r="S7" s="48" t="str">
        <x:v>multi_turn, near_oos, hard_negative, hypothesized_weak_model_probe, slot_required, multi_turn_reconsideration</x:v>
      </x:c>
      <x:c r="T7" s="48" t="str">
        <x:v>eat_at_home</x:v>
      </x:c>
      <x:c r="U7" s="52" t="str">
        <x:v>product_policy_required</x:v>
      </x:c>
      <x:c r="V7" s="52" t="str">
        <x:v>是否把目录外但相邻的行为映射为小众 activity, 是产品 taxonomy 边界而非客观唯一答案。</x:v>
      </x:c>
      <x:c r="W7" s="53" t="str"/>
      <x:c r="X7" s="53" t="str"/>
      <x:c r="Y7" s="53" t="str"/>
      <x:c r="Z7" s="53" t="str">
        <x:v>now</x:v>
      </x:c>
      <x:c r="AA7" s="53" t="str"/>
      <x:c r="AB7" s="53" t="str"/>
      <x:c r="AC7" s="51" t="str">
        <x:f>IF(W7="","待仲裁",IF(W7="重写或删除样本",IF(AA7="","缺 rationale","完成"),IF(X7="","缺 final_decision",IF(Z7="","缺 final_horizon",IF(AND(X7="in_scope",Y7=""),"缺 final_target",IF(AND(X7&lt;&gt;"in_scope",Y7&lt;&gt;""),"非 in_scope 请清空 target",IF(AA7="","缺 rationale",IF(AND(W7="修改分类规则",AB7=""),"缺 taxonomy 说明","完成"))))))))</x:f>
        <x:v>待仲裁</x:v>
      </x:c>
      <x:c r="AD7" s="55" t="n">
        <x:f>IF(AC7="完成",1,0)</x:f>
        <x:v>0</x:v>
      </x:c>
      <x:c r="AE7" s="55" t="n">
        <x:f>IF(AC7="完成",0,1)</x:f>
        <x:v>1</x:v>
      </x:c>
    </x:row>
    <x:row r="8" ht="96" customHeight="1">
      <x:c r="A8" s="48" t="str">
        <x:v>adjudication-0007</x:v>
      </x:c>
      <x:c r="B8" s="48" t="str">
        <x:v>hierarchical_disagreement</x:v>
      </x:c>
      <x:c r="C8" s="48" t="str">
        <x:v>near_oos_product_boundary</x:v>
      </x:c>
      <x:c r="D8" s="48" t="str">
        <x:v>review-initial-0137</x:v>
      </x:c>
      <x:c r="E8" s="48" t="str">
        <x:v>draft-kir-pilot-0086</x:v>
      </x:c>
      <x:c r="F8" s="49" t="str">
        <x:v>比较外卖菜单，但现在不下单也不吃。</x:v>
      </x:c>
      <x:c r="G8" s="49" t="str"/>
      <x:c r="H8" s="49" t="str"/>
      <x:c r="I8" s="56" t="str">
        <x:v>ambiguous</x:v>
      </x:c>
      <x:c r="J8" s="50" t="str"/>
      <x:c r="K8" s="50" t="str">
        <x:v>now</x:v>
      </x:c>
      <x:c r="L8" s="50" t="str">
        <x:v>不下单也不吃</x:v>
      </x:c>
      <x:c r="M8" s="50" t="str">
        <x:v>object=外卖菜单</x:v>
      </x:c>
      <x:c r="N8" s="56" t="str">
        <x:v>oos</x:v>
      </x:c>
      <x:c r="O8" s="51" t="str"/>
      <x:c r="P8" s="51" t="str">
        <x:v>now</x:v>
      </x:c>
      <x:c r="Q8" s="51" t="str">
        <x:v>比较外卖菜单，但现在不下单也不吃。</x:v>
      </x:c>
      <x:c r="R8" s="51" t="str">
        <x:v>experience=比较外卖菜单，但现在不下单也不吃</x:v>
      </x:c>
      <x:c r="S8" s="48" t="str">
        <x:v>single_turn, near_oos, hard_negative, hypothesized_weak_model_probe, slot_required</x:v>
      </x:c>
      <x:c r="T8" s="48" t="str">
        <x:v>eat_at_home</x:v>
      </x:c>
      <x:c r="U8" s="52" t="str">
        <x:v>product_policy_required</x:v>
      </x:c>
      <x:c r="V8" s="52" t="str">
        <x:v>是否把目录外但相邻的行为映射为小众 activity, 是产品 taxonomy 边界而非客观唯一答案。</x:v>
      </x:c>
      <x:c r="W8" s="53" t="str"/>
      <x:c r="X8" s="53" t="str"/>
      <x:c r="Y8" s="53" t="str"/>
      <x:c r="Z8" s="53" t="str">
        <x:v>now</x:v>
      </x:c>
      <x:c r="AA8" s="53" t="str"/>
      <x:c r="AB8" s="53" t="str"/>
      <x:c r="AC8" s="51" t="str">
        <x:f>IF(W8="","待仲裁",IF(W8="重写或删除样本",IF(AA8="","缺 rationale","完成"),IF(X8="","缺 final_decision",IF(Z8="","缺 final_horizon",IF(AND(X8="in_scope",Y8=""),"缺 final_target",IF(AND(X8&lt;&gt;"in_scope",Y8&lt;&gt;""),"非 in_scope 请清空 target",IF(AA8="","缺 rationale",IF(AND(W8="修改分类规则",AB8=""),"缺 taxonomy 说明","完成"))))))))</x:f>
        <x:v>待仲裁</x:v>
      </x:c>
      <x:c r="AD8" s="55" t="n">
        <x:f>IF(AC8="完成",1,0)</x:f>
        <x:v>0</x:v>
      </x:c>
      <x:c r="AE8" s="55" t="n">
        <x:f>IF(AC8="完成",0,1)</x:f>
        <x:v>1</x:v>
      </x:c>
    </x:row>
    <x:row r="9" ht="96" customHeight="1">
      <x:c r="A9" s="48" t="str">
        <x:v>adjudication-0008</x:v>
      </x:c>
      <x:c r="B9" s="48" t="str">
        <x:v>hierarchical_disagreement</x:v>
      </x:c>
      <x:c r="C9" s="48" t="str">
        <x:v>decision_rule_boundary</x:v>
      </x:c>
      <x:c r="D9" s="48" t="str">
        <x:v>review-initial-0004</x:v>
      </x:c>
      <x:c r="E9" s="48" t="str">
        <x:v>draft-kir-pilot-0148</x:v>
      </x:c>
      <x:c r="F9" s="49" t="str">
        <x:v>接下来想找点有意思的内容看看，类型还没决定。</x:v>
      </x:c>
      <x:c r="G9" s="49" t="str"/>
      <x:c r="H9" s="49" t="str"/>
      <x:c r="I9" s="56" t="str">
        <x:v>in_scope</x:v>
      </x:c>
      <x:c r="J9" s="56" t="str">
        <x:v>play_xiaohongshu</x:v>
      </x:c>
      <x:c r="K9" s="50" t="str">
        <x:v>now</x:v>
      </x:c>
      <x:c r="L9" s="50" t="str">
        <x:v>找点有意思的内容看看</x:v>
      </x:c>
      <x:c r="M9" s="50" t="str">
        <x:v>experience=看有意思的内容
object=内容</x:v>
      </x:c>
      <x:c r="N9" s="56" t="str">
        <x:v>ambiguous</x:v>
      </x:c>
      <x:c r="O9" s="56" t="str"/>
      <x:c r="P9" s="51" t="str">
        <x:v>now</x:v>
      </x:c>
      <x:c r="Q9" s="51" t="str">
        <x:v>接下来想找点有意思的内容看看，类型还没决定。</x:v>
      </x:c>
      <x:c r="R9" s="51" t="str"/>
      <x:c r="S9" s="48" t="str">
        <x:v>single_turn, slot_required</x:v>
      </x:c>
      <x:c r="T9" s="48" t="str"/>
      <x:c r="U9" s="52" t="str">
        <x:v>current_rule_lean_keep_draft</x:v>
      </x:c>
      <x:c r="V9" s="52" t="str">
        <x:v>依据当前书面 decision 规则倾向保留草稿, 但规则本身仍需人工确认。</x:v>
      </x:c>
      <x:c r="W9" s="53" t="str"/>
      <x:c r="X9" s="53" t="str"/>
      <x:c r="Y9" s="53" t="str"/>
      <x:c r="Z9" s="53" t="str">
        <x:v>now</x:v>
      </x:c>
      <x:c r="AA9" s="53" t="str"/>
      <x:c r="AB9" s="53" t="str"/>
      <x:c r="AC9" s="51" t="str">
        <x:f>IF(W9="","待仲裁",IF(W9="重写或删除样本",IF(AA9="","缺 rationale","完成"),IF(X9="","缺 final_decision",IF(Z9="","缺 final_horizon",IF(AND(X9="in_scope",Y9=""),"缺 final_target",IF(AND(X9&lt;&gt;"in_scope",Y9&lt;&gt;""),"非 in_scope 请清空 target",IF(AA9="","缺 rationale",IF(AND(W9="修改分类规则",AB9=""),"缺 taxonomy 说明","完成"))))))))</x:f>
        <x:v>待仲裁</x:v>
      </x:c>
      <x:c r="AD9" s="55" t="n">
        <x:f>IF(AC9="完成",1,0)</x:f>
        <x:v>0</x:v>
      </x:c>
      <x:c r="AE9" s="55" t="n">
        <x:f>IF(AC9="完成",0,1)</x:f>
        <x:v>1</x:v>
      </x:c>
    </x:row>
    <x:row r="10" ht="96" customHeight="1">
      <x:c r="A10" s="48" t="str">
        <x:v>adjudication-0009</x:v>
      </x:c>
      <x:c r="B10" s="48" t="str">
        <x:v>hierarchical_disagreement</x:v>
      </x:c>
      <x:c r="C10" s="48" t="str">
        <x:v>decision_rule_boundary</x:v>
      </x:c>
      <x:c r="D10" s="48" t="str">
        <x:v>review-initial-0022</x:v>
      </x:c>
      <x:c r="E10" s="48" t="str">
        <x:v>draft-kir-pilot-0156</x:v>
      </x:c>
      <x:c r="F10" s="49" t="str">
        <x:v>接下来可能做点安静的事，具体内容还没有想法。</x:v>
      </x:c>
      <x:c r="G10" s="49" t="str"/>
      <x:c r="H10" s="49" t="str"/>
      <x:c r="I10" s="56" t="str">
        <x:v>no_intent</x:v>
      </x:c>
      <x:c r="J10" s="50" t="str"/>
      <x:c r="K10" s="50" t="str">
        <x:v>now</x:v>
      </x:c>
      <x:c r="L10" s="50" t="str">
        <x:v>没有想法</x:v>
      </x:c>
      <x:c r="M10" s="50" t="str"/>
      <x:c r="N10" s="56" t="str">
        <x:v>ambiguous</x:v>
      </x:c>
      <x:c r="O10" s="51" t="str"/>
      <x:c r="P10" s="51" t="str">
        <x:v>now</x:v>
      </x:c>
      <x:c r="Q10" s="51" t="str">
        <x:v>接下来可能做点安静的事，具体内容还没有想法。</x:v>
      </x:c>
      <x:c r="R10" s="51" t="str"/>
      <x:c r="S10" s="48" t="str">
        <x:v>single_turn</x:v>
      </x:c>
      <x:c r="T10" s="48" t="str"/>
      <x:c r="U10" s="52" t="str">
        <x:v>current_rule_lean_keep_draft</x:v>
      </x:c>
      <x:c r="V10" s="52" t="str">
        <x:v>依据当前书面 decision 规则倾向保留草稿, 但规则本身仍需人工确认。</x:v>
      </x:c>
      <x:c r="W10" s="53" t="str"/>
      <x:c r="X10" s="53" t="str"/>
      <x:c r="Y10" s="53" t="str"/>
      <x:c r="Z10" s="53" t="str">
        <x:v>now</x:v>
      </x:c>
      <x:c r="AA10" s="53" t="str"/>
      <x:c r="AB10" s="53" t="str"/>
      <x:c r="AC10" s="51" t="str">
        <x:f>IF(W10="","待仲裁",IF(W10="重写或删除样本",IF(AA10="","缺 rationale","完成"),IF(X10="","缺 final_decision",IF(Z10="","缺 final_horizon",IF(AND(X10="in_scope",Y10=""),"缺 final_target",IF(AND(X10&lt;&gt;"in_scope",Y10&lt;&gt;""),"非 in_scope 请清空 target",IF(AA10="","缺 rationale",IF(AND(W10="修改分类规则",AB10=""),"缺 taxonomy 说明","完成"))))))))</x:f>
        <x:v>待仲裁</x:v>
      </x:c>
      <x:c r="AD10" s="55" t="n">
        <x:f>IF(AC10="完成",1,0)</x:f>
        <x:v>0</x:v>
      </x:c>
      <x:c r="AE10" s="55" t="n">
        <x:f>IF(AC10="完成",0,1)</x:f>
        <x:v>1</x:v>
      </x:c>
    </x:row>
    <x:row r="11" ht="96" customHeight="1">
      <x:c r="A11" s="48" t="str">
        <x:v>adjudication-0010</x:v>
      </x:c>
      <x:c r="B11" s="48" t="str">
        <x:v>hierarchical_disagreement</x:v>
      </x:c>
      <x:c r="C11" s="48" t="str">
        <x:v>decision_rule_boundary</x:v>
      </x:c>
      <x:c r="D11" s="48" t="str">
        <x:v>review-initial-0032</x:v>
      </x:c>
      <x:c r="E11" s="48" t="str">
        <x:v>draft-kir-pilot-0153</x:v>
      </x:c>
      <x:c r="F11" s="49" t="str">
        <x:v>想画点东西或调整以前的照片，目前都可以。</x:v>
      </x:c>
      <x:c r="G11" s="49" t="str"/>
      <x:c r="H11" s="49" t="str"/>
      <x:c r="I11" s="56" t="str">
        <x:v>in_scope</x:v>
      </x:c>
      <x:c r="J11" s="56" t="str">
        <x:v>create_picture</x:v>
      </x:c>
      <x:c r="K11" s="50" t="str">
        <x:v>now</x:v>
      </x:c>
      <x:c r="L11" s="50" t="str">
        <x:v>画点东西或调整以前的照片</x:v>
      </x:c>
      <x:c r="M11" s="50" t="str">
        <x:v>experience=欣赏艺术</x:v>
      </x:c>
      <x:c r="N11" s="56" t="str">
        <x:v>ambiguous</x:v>
      </x:c>
      <x:c r="O11" s="56" t="str"/>
      <x:c r="P11" s="51" t="str">
        <x:v>now</x:v>
      </x:c>
      <x:c r="Q11" s="51" t="str">
        <x:v>想画点东西或调整以前的照片，目前都可以。</x:v>
      </x:c>
      <x:c r="R11" s="51" t="str"/>
      <x:c r="S11" s="48" t="str">
        <x:v>single_turn</x:v>
      </x:c>
      <x:c r="T11" s="48" t="str"/>
      <x:c r="U11" s="52" t="str">
        <x:v>current_rule_lean_keep_draft</x:v>
      </x:c>
      <x:c r="V11" s="52" t="str">
        <x:v>依据当前书面 decision 规则倾向保留草稿, 但规则本身仍需人工确认。</x:v>
      </x:c>
      <x:c r="W11" s="53" t="str"/>
      <x:c r="X11" s="53" t="str"/>
      <x:c r="Y11" s="53" t="str"/>
      <x:c r="Z11" s="53" t="str">
        <x:v>now</x:v>
      </x:c>
      <x:c r="AA11" s="53" t="str"/>
      <x:c r="AB11" s="53" t="str"/>
      <x:c r="AC11" s="51" t="str">
        <x:f>IF(W11="","待仲裁",IF(W11="重写或删除样本",IF(AA11="","缺 rationale","完成"),IF(X11="","缺 final_decision",IF(Z11="","缺 final_horizon",IF(AND(X11="in_scope",Y11=""),"缺 final_target",IF(AND(X11&lt;&gt;"in_scope",Y11&lt;&gt;""),"非 in_scope 请清空 target",IF(AA11="","缺 rationale",IF(AND(W11="修改分类规则",AB11=""),"缺 taxonomy 说明","完成"))))))))</x:f>
        <x:v>待仲裁</x:v>
      </x:c>
      <x:c r="AD11" s="55" t="n">
        <x:f>IF(AC11="完成",1,0)</x:f>
        <x:v>0</x:v>
      </x:c>
      <x:c r="AE11" s="55" t="n">
        <x:f>IF(AC11="完成",0,1)</x:f>
        <x:v>1</x:v>
      </x:c>
    </x:row>
    <x:row r="12" ht="96" customHeight="1">
      <x:c r="A12" s="48" t="str">
        <x:v>adjudication-0011</x:v>
      </x:c>
      <x:c r="B12" s="48" t="str">
        <x:v>hierarchical_disagreement</x:v>
      </x:c>
      <x:c r="C12" s="48" t="str">
        <x:v>decision_rule_boundary</x:v>
      </x:c>
      <x:c r="D12" s="48" t="str">
        <x:v>review-initial-0058</x:v>
      </x:c>
      <x:c r="E12" s="48" t="str">
        <x:v>draft-kir-pilot-0158</x:v>
      </x:c>
      <x:c r="F12" s="49" t="str">
        <x:v>现在可以去散步，也可以骑车，暂时不选。</x:v>
      </x:c>
      <x:c r="G12" s="49" t="str"/>
      <x:c r="H12" s="49" t="str"/>
      <x:c r="I12" s="56" t="str">
        <x:v>no_intent</x:v>
      </x:c>
      <x:c r="J12" s="50" t="str"/>
      <x:c r="K12" s="50" t="str">
        <x:v>now</x:v>
      </x:c>
      <x:c r="L12" s="50" t="str">
        <x:v>暂时不选</x:v>
      </x:c>
      <x:c r="M12" s="50" t="str"/>
      <x:c r="N12" s="56" t="str">
        <x:v>ambiguous</x:v>
      </x:c>
      <x:c r="O12" s="51" t="str"/>
      <x:c r="P12" s="51" t="str">
        <x:v>now</x:v>
      </x:c>
      <x:c r="Q12" s="51" t="str">
        <x:v>现在可以去散步，也可以骑车，暂时不选。</x:v>
      </x:c>
      <x:c r="R12" s="51" t="str"/>
      <x:c r="S12" s="48" t="str">
        <x:v>single_turn</x:v>
      </x:c>
      <x:c r="T12" s="48" t="str"/>
      <x:c r="U12" s="52" t="str">
        <x:v>current_rule_lean_keep_draft</x:v>
      </x:c>
      <x:c r="V12" s="52" t="str">
        <x:v>依据当前书面 decision 规则倾向保留草稿, 但规则本身仍需人工确认。</x:v>
      </x:c>
      <x:c r="W12" s="53" t="str"/>
      <x:c r="X12" s="53" t="str"/>
      <x:c r="Y12" s="53" t="str"/>
      <x:c r="Z12" s="53" t="str">
        <x:v>now</x:v>
      </x:c>
      <x:c r="AA12" s="53" t="str"/>
      <x:c r="AB12" s="53" t="str"/>
      <x:c r="AC12" s="51" t="str">
        <x:f>IF(W12="","待仲裁",IF(W12="重写或删除样本",IF(AA12="","缺 rationale","完成"),IF(X12="","缺 final_decision",IF(Z12="","缺 final_horizon",IF(AND(X12="in_scope",Y12=""),"缺 final_target",IF(AND(X12&lt;&gt;"in_scope",Y12&lt;&gt;""),"非 in_scope 请清空 target",IF(AA12="","缺 rationale",IF(AND(W12="修改分类规则",AB12=""),"缺 taxonomy 说明","完成"))))))))</x:f>
        <x:v>待仲裁</x:v>
      </x:c>
      <x:c r="AD12" s="55" t="n">
        <x:f>IF(AC12="完成",1,0)</x:f>
        <x:v>0</x:v>
      </x:c>
      <x:c r="AE12" s="55" t="n">
        <x:f>IF(AC12="完成",0,1)</x:f>
        <x:v>1</x:v>
      </x:c>
    </x:row>
    <x:row r="13" ht="96" customHeight="1">
      <x:c r="A13" s="48" t="str">
        <x:v>adjudication-0012</x:v>
      </x:c>
      <x:c r="B13" s="48" t="str">
        <x:v>hierarchical_disagreement</x:v>
      </x:c>
      <x:c r="C13" s="48" t="str">
        <x:v>decision_rule_boundary</x:v>
      </x:c>
      <x:c r="D13" s="48" t="str">
        <x:v>review-initial-0068</x:v>
      </x:c>
      <x:c r="E13" s="48" t="str">
        <x:v>draft-kir-pilot-0145</x:v>
      </x:c>
      <x:c r="F13" s="49" t="str">
        <x:v>接下来可以去书店，也可以只在附近走走。</x:v>
      </x:c>
      <x:c r="G13" s="49" t="str"/>
      <x:c r="H13" s="49" t="str"/>
      <x:c r="I13" s="56" t="str">
        <x:v>in_scope</x:v>
      </x:c>
      <x:c r="J13" s="56" t="str">
        <x:v>take_a_walk</x:v>
      </x:c>
      <x:c r="K13" s="50" t="str">
        <x:v>now</x:v>
      </x:c>
      <x:c r="L13" s="50" t="str">
        <x:v>可以去书店，也可以只在附近</x:v>
      </x:c>
      <x:c r="M13" s="50" t="str">
        <x:v>object=室外</x:v>
      </x:c>
      <x:c r="N13" s="56" t="str">
        <x:v>ambiguous</x:v>
      </x:c>
      <x:c r="O13" s="56" t="str"/>
      <x:c r="P13" s="51" t="str">
        <x:v>now</x:v>
      </x:c>
      <x:c r="Q13" s="51" t="str">
        <x:v>接下来可以去书店，也可以只在附近走走。</x:v>
      </x:c>
      <x:c r="R13" s="51" t="str"/>
      <x:c r="S13" s="48" t="str">
        <x:v>single_turn, slot_required</x:v>
      </x:c>
      <x:c r="T13" s="48" t="str"/>
      <x:c r="U13" s="52" t="str">
        <x:v>current_rule_lean_keep_draft</x:v>
      </x:c>
      <x:c r="V13" s="52" t="str">
        <x:v>依据当前书面 decision 规则倾向保留草稿, 但规则本身仍需人工确认。</x:v>
      </x:c>
      <x:c r="W13" s="53" t="str"/>
      <x:c r="X13" s="53" t="str"/>
      <x:c r="Y13" s="53" t="str"/>
      <x:c r="Z13" s="53" t="str">
        <x:v>now</x:v>
      </x:c>
      <x:c r="AA13" s="53" t="str"/>
      <x:c r="AB13" s="53" t="str"/>
      <x:c r="AC13" s="51" t="str">
        <x:f>IF(W13="","待仲裁",IF(W13="重写或删除样本",IF(AA13="","缺 rationale","完成"),IF(X13="","缺 final_decision",IF(Z13="","缺 final_horizon",IF(AND(X13="in_scope",Y13=""),"缺 final_target",IF(AND(X13&lt;&gt;"in_scope",Y13&lt;&gt;""),"非 in_scope 请清空 target",IF(AA13="","缺 rationale",IF(AND(W13="修改分类规则",AB13=""),"缺 taxonomy 说明","完成"))))))))</x:f>
        <x:v>待仲裁</x:v>
      </x:c>
      <x:c r="AD13" s="55" t="n">
        <x:f>IF(AC13="完成",1,0)</x:f>
        <x:v>0</x:v>
      </x:c>
      <x:c r="AE13" s="55" t="n">
        <x:f>IF(AC13="完成",0,1)</x:f>
        <x:v>1</x:v>
      </x:c>
    </x:row>
    <x:row r="14" ht="96" customHeight="1">
      <x:c r="A14" s="48" t="str">
        <x:v>adjudication-0013</x:v>
      </x:c>
      <x:c r="B14" s="48" t="str">
        <x:v>hierarchical_disagreement</x:v>
      </x:c>
      <x:c r="C14" s="48" t="str">
        <x:v>target_selection</x:v>
      </x:c>
      <x:c r="D14" s="48" t="str">
        <x:v>review-initial-0086</x:v>
      </x:c>
      <x:c r="E14" s="48" t="str">
        <x:v>draft-kir-pilot-0057</x:v>
      </x:c>
      <x:c r="F14" s="49" t="str">
        <x:v>现在想盖上毯子打个短盹。</x:v>
      </x:c>
      <x:c r="G14" s="49" t="str"/>
      <x:c r="H14" s="49" t="str"/>
      <x:c r="I14" s="50" t="str">
        <x:v>in_scope</x:v>
      </x:c>
      <x:c r="J14" s="56" t="str">
        <x:v>dine_out</x:v>
      </x:c>
      <x:c r="K14" s="50" t="str">
        <x:v>now</x:v>
      </x:c>
      <x:c r="L14" s="50" t="str">
        <x:v>打个短盹</x:v>
      </x:c>
      <x:c r="M14" s="50" t="str">
        <x:v>experience=休息
object=毯子</x:v>
      </x:c>
      <x:c r="N14" s="51" t="str">
        <x:v>in_scope</x:v>
      </x:c>
      <x:c r="O14" s="56" t="str">
        <x:v>rest</x:v>
      </x:c>
      <x:c r="P14" s="51" t="str">
        <x:v>now</x:v>
      </x:c>
      <x:c r="Q14" s="51" t="str">
        <x:v>现在想盖上毯子打个短盹。</x:v>
      </x:c>
      <x:c r="R14" s="51" t="str">
        <x:v>experience=暂停行动并安静休息
object=休息时段</x:v>
      </x:c>
      <x:c r="S14" s="48" t="str">
        <x:v>single_turn, slot_required</x:v>
      </x:c>
      <x:c r="T14" s="48" t="str"/>
      <x:c r="U14" s="52" t="str">
        <x:v>likely_reviewer_input_error</x:v>
      </x:c>
      <x:c r="V14" s="52" t="str">
        <x:v>decision 一致但 target 与上下文及当前 taxonomy 不一致, 优先检查是否为下拉误选。</x:v>
      </x:c>
      <x:c r="W14" s="53" t="str"/>
      <x:c r="X14" s="53" t="str"/>
      <x:c r="Y14" s="53" t="str"/>
      <x:c r="Z14" s="53" t="str">
        <x:v>now</x:v>
      </x:c>
      <x:c r="AA14" s="53" t="str"/>
      <x:c r="AB14" s="53" t="str"/>
      <x:c r="AC14" s="51" t="str">
        <x:f>IF(W14="","待仲裁",IF(W14="重写或删除样本",IF(AA14="","缺 rationale","完成"),IF(X14="","缺 final_decision",IF(Z14="","缺 final_horizon",IF(AND(X14="in_scope",Y14=""),"缺 final_target",IF(AND(X14&lt;&gt;"in_scope",Y14&lt;&gt;""),"非 in_scope 请清空 target",IF(AA14="","缺 rationale",IF(AND(W14="修改分类规则",AB14=""),"缺 taxonomy 说明","完成"))))))))</x:f>
        <x:v>待仲裁</x:v>
      </x:c>
      <x:c r="AD14" s="55" t="n">
        <x:f>IF(AC14="完成",1,0)</x:f>
        <x:v>0</x:v>
      </x:c>
      <x:c r="AE14" s="55" t="n">
        <x:f>IF(AC14="完成",0,1)</x:f>
        <x:v>1</x:v>
      </x:c>
    </x:row>
    <x:row r="15" ht="96" customHeight="1">
      <x:c r="A15" s="48" t="str">
        <x:v>adjudication-0014</x:v>
      </x:c>
      <x:c r="B15" s="48" t="str">
        <x:v>hierarchical_disagreement</x:v>
      </x:c>
      <x:c r="C15" s="48" t="str">
        <x:v>decision_rule_boundary</x:v>
      </x:c>
      <x:c r="D15" s="48" t="str">
        <x:v>review-initial-0088</x:v>
      </x:c>
      <x:c r="E15" s="48" t="str">
        <x:v>draft-kir-pilot-0147</x:v>
      </x:c>
      <x:c r="F15" s="49" t="str">
        <x:v>现在想出去做点轻松的事，但没想好具体做什么。</x:v>
      </x:c>
      <x:c r="G15" s="49" t="str"/>
      <x:c r="H15" s="49" t="str"/>
      <x:c r="I15" s="56" t="str">
        <x:v>no_intent</x:v>
      </x:c>
      <x:c r="J15" s="50" t="str"/>
      <x:c r="K15" s="50" t="str">
        <x:v>now</x:v>
      </x:c>
      <x:c r="L15" s="50" t="str">
        <x:v>但没想好具体做什么</x:v>
      </x:c>
      <x:c r="M15" s="50" t="str"/>
      <x:c r="N15" s="56" t="str">
        <x:v>ambiguous</x:v>
      </x:c>
      <x:c r="O15" s="51" t="str"/>
      <x:c r="P15" s="51" t="str">
        <x:v>now</x:v>
      </x:c>
      <x:c r="Q15" s="51" t="str">
        <x:v>现在想出去做点轻松的事，但没想好具体做什么。</x:v>
      </x:c>
      <x:c r="R15" s="51" t="str"/>
      <x:c r="S15" s="48" t="str">
        <x:v>single_turn, slot_required</x:v>
      </x:c>
      <x:c r="T15" s="48" t="str"/>
      <x:c r="U15" s="52" t="str">
        <x:v>current_rule_lean_keep_draft</x:v>
      </x:c>
      <x:c r="V15" s="52" t="str">
        <x:v>依据当前书面 decision 规则倾向保留草稿, 但规则本身仍需人工确认。</x:v>
      </x:c>
      <x:c r="W15" s="53" t="str"/>
      <x:c r="X15" s="53" t="str"/>
      <x:c r="Y15" s="53" t="str"/>
      <x:c r="Z15" s="53" t="str">
        <x:v>now</x:v>
      </x:c>
      <x:c r="AA15" s="53" t="str"/>
      <x:c r="AB15" s="53" t="str"/>
      <x:c r="AC15" s="51" t="str">
        <x:f>IF(W15="","待仲裁",IF(W15="重写或删除样本",IF(AA15="","缺 rationale","完成"),IF(X15="","缺 final_decision",IF(Z15="","缺 final_horizon",IF(AND(X15="in_scope",Y15=""),"缺 final_target",IF(AND(X15&lt;&gt;"in_scope",Y15&lt;&gt;""),"非 in_scope 请清空 target",IF(AA15="","缺 rationale",IF(AND(W15="修改分类规则",AB15=""),"缺 taxonomy 说明","完成"))))))))</x:f>
        <x:v>待仲裁</x:v>
      </x:c>
      <x:c r="AD15" s="55" t="n">
        <x:f>IF(AC15="完成",1,0)</x:f>
        <x:v>0</x:v>
      </x:c>
      <x:c r="AE15" s="55" t="n">
        <x:f>IF(AC15="完成",0,1)</x:f>
        <x:v>1</x:v>
      </x:c>
    </x:row>
    <x:row r="16" ht="96" customHeight="1">
      <x:c r="A16" s="48" t="str">
        <x:v>adjudication-0015</x:v>
      </x:c>
      <x:c r="B16" s="48" t="str">
        <x:v>hierarchical_disagreement</x:v>
      </x:c>
      <x:c r="C16" s="48" t="str">
        <x:v>decision_rule_boundary</x:v>
      </x:c>
      <x:c r="D16" s="48" t="str">
        <x:v>review-initial-0121</x:v>
      </x:c>
      <x:c r="E16" s="48" t="str">
        <x:v>draft-kir-pilot-0154</x:v>
      </x:c>
      <x:c r="F16" s="49" t="str">
        <x:v>现在想找个地方坐坐，餐馆、书店还是别处都没定。</x:v>
      </x:c>
      <x:c r="G16" s="49" t="str"/>
      <x:c r="H16" s="49" t="str"/>
      <x:c r="I16" s="56" t="str">
        <x:v>in_scope</x:v>
      </x:c>
      <x:c r="J16" s="56" t="str">
        <x:v>rest</x:v>
      </x:c>
      <x:c r="K16" s="50" t="str">
        <x:v>now</x:v>
      </x:c>
      <x:c r="L16" s="50" t="str">
        <x:v>找个地方坐坐</x:v>
      </x:c>
      <x:c r="M16" s="50" t="str"/>
      <x:c r="N16" s="56" t="str">
        <x:v>ambiguous</x:v>
      </x:c>
      <x:c r="O16" s="56" t="str"/>
      <x:c r="P16" s="51" t="str">
        <x:v>now</x:v>
      </x:c>
      <x:c r="Q16" s="51" t="str">
        <x:v>现在想找个地方坐坐，餐馆、书店还是别处都没定。</x:v>
      </x:c>
      <x:c r="R16" s="51" t="str"/>
      <x:c r="S16" s="48" t="str">
        <x:v>single_turn</x:v>
      </x:c>
      <x:c r="T16" s="48" t="str"/>
      <x:c r="U16" s="52" t="str">
        <x:v>current_rule_lean_keep_draft</x:v>
      </x:c>
      <x:c r="V16" s="52" t="str">
        <x:v>依据当前书面 decision 规则倾向保留草稿, 但规则本身仍需人工确认。</x:v>
      </x:c>
      <x:c r="W16" s="53" t="str"/>
      <x:c r="X16" s="53" t="str"/>
      <x:c r="Y16" s="53" t="str"/>
      <x:c r="Z16" s="53" t="str">
        <x:v>now</x:v>
      </x:c>
      <x:c r="AA16" s="53" t="str"/>
      <x:c r="AB16" s="53" t="str"/>
      <x:c r="AC16" s="51" t="str">
        <x:f>IF(W16="","待仲裁",IF(W16="重写或删除样本",IF(AA16="","缺 rationale","完成"),IF(X16="","缺 final_decision",IF(Z16="","缺 final_horizon",IF(AND(X16="in_scope",Y16=""),"缺 final_target",IF(AND(X16&lt;&gt;"in_scope",Y16&lt;&gt;""),"非 in_scope 请清空 target",IF(AA16="","缺 rationale",IF(AND(W16="修改分类规则",AB16=""),"缺 taxonomy 说明","完成"))))))))</x:f>
        <x:v>待仲裁</x:v>
      </x:c>
      <x:c r="AD16" s="55" t="n">
        <x:f>IF(AC16="完成",1,0)</x:f>
        <x:v>0</x:v>
      </x:c>
      <x:c r="AE16" s="55" t="n">
        <x:f>IF(AC16="完成",0,1)</x:f>
        <x:v>1</x:v>
      </x:c>
    </x:row>
    <x:row r="17" ht="96" customHeight="1">
      <x:c r="A17" s="48" t="str">
        <x:v>adjudication-0016</x:v>
      </x:c>
      <x:c r="B17" s="48" t="str">
        <x:v>hierarchical_disagreement</x:v>
      </x:c>
      <x:c r="C17" s="48" t="str">
        <x:v>decision_rule_boundary</x:v>
      </x:c>
      <x:c r="D17" s="48" t="str">
        <x:v>review-initial-0123</x:v>
      </x:c>
      <x:c r="E17" s="48" t="str">
        <x:v>draft-kir-pilot-0151</x:v>
      </x:c>
      <x:c r="F17" s="49" t="str">
        <x:v>想离开屋子一会儿，目的地还完全没想好。</x:v>
      </x:c>
      <x:c r="G17" s="49" t="str"/>
      <x:c r="H17" s="49" t="str"/>
      <x:c r="I17" s="56" t="str">
        <x:v>in_scope</x:v>
      </x:c>
      <x:c r="J17" s="56" t="str">
        <x:v>take_a_walk</x:v>
      </x:c>
      <x:c r="K17" s="50" t="str">
        <x:v>now</x:v>
      </x:c>
      <x:c r="L17" s="50" t="str">
        <x:v>离开屋子一会儿</x:v>
      </x:c>
      <x:c r="M17" s="50" t="str"/>
      <x:c r="N17" s="56" t="str">
        <x:v>ambiguous</x:v>
      </x:c>
      <x:c r="O17" s="56" t="str"/>
      <x:c r="P17" s="51" t="str">
        <x:v>now</x:v>
      </x:c>
      <x:c r="Q17" s="51" t="str">
        <x:v>想离开屋子一会儿，目的地还完全没想好。</x:v>
      </x:c>
      <x:c r="R17" s="51" t="str"/>
      <x:c r="S17" s="48" t="str">
        <x:v>single_turn, slot_required</x:v>
      </x:c>
      <x:c r="T17" s="48" t="str"/>
      <x:c r="U17" s="52" t="str">
        <x:v>current_rule_lean_keep_draft</x:v>
      </x:c>
      <x:c r="V17" s="52" t="str">
        <x:v>依据当前书面 decision 规则倾向保留草稿, 但规则本身仍需人工确认。</x:v>
      </x:c>
      <x:c r="W17" s="53" t="str"/>
      <x:c r="X17" s="53" t="str"/>
      <x:c r="Y17" s="53" t="str"/>
      <x:c r="Z17" s="53" t="str">
        <x:v>now</x:v>
      </x:c>
      <x:c r="AA17" s="53" t="str"/>
      <x:c r="AB17" s="53" t="str"/>
      <x:c r="AC17" s="51" t="str">
        <x:f>IF(W17="","待仲裁",IF(W17="重写或删除样本",IF(AA17="","缺 rationale","完成"),IF(X17="","缺 final_decision",IF(Z17="","缺 final_horizon",IF(AND(X17="in_scope",Y17=""),"缺 final_target",IF(AND(X17&lt;&gt;"in_scope",Y17&lt;&gt;""),"非 in_scope 请清空 target",IF(AA17="","缺 rationale",IF(AND(W17="修改分类规则",AB17=""),"缺 taxonomy 说明","完成"))))))))</x:f>
        <x:v>待仲裁</x:v>
      </x:c>
      <x:c r="AD17" s="55" t="n">
        <x:f>IF(AC17="完成",1,0)</x:f>
        <x:v>0</x:v>
      </x:c>
      <x:c r="AE17" s="55" t="n">
        <x:f>IF(AC17="完成",0,1)</x:f>
        <x:v>1</x:v>
      </x:c>
    </x:row>
    <x:row r="18" ht="96" customHeight="1">
      <x:c r="A18" s="48" t="str">
        <x:v>adjudication-0017</x:v>
      </x:c>
      <x:c r="B18" s="48" t="str">
        <x:v>hierarchical_disagreement</x:v>
      </x:c>
      <x:c r="C18" s="48" t="str">
        <x:v>decision_rule_boundary</x:v>
      </x:c>
      <x:c r="D18" s="48" t="str">
        <x:v>review-initial-0140</x:v>
      </x:c>
      <x:c r="E18" s="48" t="str">
        <x:v>draft-kir-pilot-0131</x:v>
      </x:c>
      <x:c r="F18" s="49" t="str">
        <x:v>哪天可能学一首吉他曲，但不是现在。</x:v>
      </x:c>
      <x:c r="G18" s="49" t="str"/>
      <x:c r="H18" s="49" t="str"/>
      <x:c r="I18" s="56" t="str">
        <x:v>oos</x:v>
      </x:c>
      <x:c r="J18" s="50" t="str"/>
      <x:c r="K18" s="50" t="str">
        <x:v>later</x:v>
      </x:c>
      <x:c r="L18" s="50" t="str">
        <x:v>学一首吉他曲</x:v>
      </x:c>
      <x:c r="M18" s="50" t="str">
        <x:v>object=吉他曲</x:v>
      </x:c>
      <x:c r="N18" s="56" t="str">
        <x:v>no_intent</x:v>
      </x:c>
      <x:c r="O18" s="51" t="str"/>
      <x:c r="P18" s="51" t="str">
        <x:v>later</x:v>
      </x:c>
      <x:c r="Q18" s="51" t="str">
        <x:v>哪天可能学一首吉他曲，但不是现在。</x:v>
      </x:c>
      <x:c r="R18" s="51" t="str"/>
      <x:c r="S18" s="48" t="str">
        <x:v>single_turn, quiet_control</x:v>
      </x:c>
      <x:c r="T18" s="48" t="str"/>
      <x:c r="U18" s="52" t="str">
        <x:v>current_rule_lean_keep_draft</x:v>
      </x:c>
      <x:c r="V18" s="52" t="str">
        <x:v>依据当前书面 decision 规则倾向保留草稿, 但规则本身仍需人工确认。</x:v>
      </x:c>
      <x:c r="W18" s="53" t="str"/>
      <x:c r="X18" s="53" t="str"/>
      <x:c r="Y18" s="53" t="str"/>
      <x:c r="Z18" s="53" t="str">
        <x:v>later</x:v>
      </x:c>
      <x:c r="AA18" s="53" t="str"/>
      <x:c r="AB18" s="53" t="str"/>
      <x:c r="AC18" s="51" t="str">
        <x:f>IF(W18="","待仲裁",IF(W18="重写或删除样本",IF(AA18="","缺 rationale","完成"),IF(X18="","缺 final_decision",IF(Z18="","缺 final_horizon",IF(AND(X18="in_scope",Y18=""),"缺 final_target",IF(AND(X18&lt;&gt;"in_scope",Y18&lt;&gt;""),"非 in_scope 请清空 target",IF(AA18="","缺 rationale",IF(AND(W18="修改分类规则",AB18=""),"缺 taxonomy 说明","完成"))))))))</x:f>
        <x:v>待仲裁</x:v>
      </x:c>
      <x:c r="AD18" s="55" t="n">
        <x:f>IF(AC18="完成",1,0)</x:f>
        <x:v>0</x:v>
      </x:c>
      <x:c r="AE18" s="55" t="n">
        <x:f>IF(AC18="完成",0,1)</x:f>
        <x:v>1</x:v>
      </x:c>
    </x:row>
    <x:row r="19" ht="96" customHeight="1">
      <x:c r="A19" s="48" t="str">
        <x:v>adjudication-0018</x:v>
      </x:c>
      <x:c r="B19" s="48" t="str">
        <x:v>agreement_audit</x:v>
      </x:c>
      <x:c r="C19" s="48" t="str">
        <x:v>agreement_audit</x:v>
      </x:c>
      <x:c r="D19" s="48" t="str">
        <x:v>review-initial-0160</x:v>
      </x:c>
      <x:c r="E19" s="48" t="str">
        <x:v>draft-kir-pilot-0062</x:v>
      </x:c>
      <x:c r="F19" s="49" t="str">
        <x:v>想下楼在街区里慢慢走十分钟。</x:v>
      </x:c>
      <x:c r="G19" s="49" t="str"/>
      <x:c r="H19" s="49" t="str"/>
      <x:c r="I19" s="50" t="str">
        <x:v>in_scope</x:v>
      </x:c>
      <x:c r="J19" s="50" t="str">
        <x:v>take_a_walk</x:v>
      </x:c>
      <x:c r="K19" s="50" t="str">
        <x:v>now</x:v>
      </x:c>
      <x:c r="L19" s="50" t="str">
        <x:v>在街区里慢慢走</x:v>
      </x:c>
      <x:c r="M19" s="50" t="str">
        <x:v>object=街区</x:v>
      </x:c>
      <x:c r="N19" s="51" t="str">
        <x:v>in_scope</x:v>
      </x:c>
      <x:c r="O19" s="51" t="str">
        <x:v>take_a_walk</x:v>
      </x:c>
      <x:c r="P19" s="51" t="str">
        <x:v>now</x:v>
      </x:c>
      <x:c r="Q19" s="51" t="str">
        <x:v>想下楼在街区里慢慢走十分钟。</x:v>
      </x:c>
      <x:c r="R19" s="51" t="str">
        <x:v>experience=以步行为主要目的外出
object=附近步行路线</x:v>
      </x:c>
      <x:c r="S19" s="48" t="str">
        <x:v>single_turn, slot_required</x:v>
      </x:c>
      <x:c r="T19" s="48" t="str"/>
      <x:c r="U19" s="52" t="str">
        <x:v>confirm_agreement</x:v>
      </x:c>
      <x:c r="V19" s="52" t="str">
        <x:v>人工标签与草稿的 decision、in-scope target 和 horizon 一致; 用于抽样检查共同偏差。</x:v>
      </x:c>
      <x:c r="W19" s="53" t="str">
        <x:v>确认一致标签</x:v>
      </x:c>
      <x:c r="X19" s="53" t="str">
        <x:v>in_scope</x:v>
      </x:c>
      <x:c r="Y19" s="53" t="str">
        <x:v>take_a_walk</x:v>
      </x:c>
      <x:c r="Z19" s="53" t="str">
        <x:v>now</x:v>
      </x:c>
      <x:c r="AA19" s="53" t="str">
        <x:v>人工与草稿的受控标签一致，保留一致标签。</x:v>
      </x:c>
      <x:c r="AB19" s="53" t="str"/>
      <x:c r="AC19" s="51" t="str">
        <x:f>IF(W19="","待仲裁",IF(W19="重写或删除样本",IF(AA19="","缺 rationale","完成"),IF(X19="","缺 final_decision",IF(Z19="","缺 final_horizon",IF(AND(X19="in_scope",Y19=""),"缺 final_target",IF(AND(X19&lt;&gt;"in_scope",Y19&lt;&gt;""),"非 in_scope 请清空 target",IF(AA19="","缺 rationale",IF(AND(W19="修改分类规则",AB19=""),"缺 taxonomy 说明","完成"))))))))</x:f>
        <x:v>完成</x:v>
      </x:c>
      <x:c r="AD19" s="55" t="n">
        <x:f>IF(AC19="完成",1,0)</x:f>
        <x:v>1</x:v>
      </x:c>
      <x:c r="AE19" s="55" t="n">
        <x:f>IF(AC19="完成",0,1)</x:f>
        <x:v>0</x:v>
      </x:c>
    </x:row>
    <x:row r="20" ht="96" customHeight="1">
      <x:c r="A20" s="48" t="str">
        <x:v>adjudication-0019</x:v>
      </x:c>
      <x:c r="B20" s="48" t="str">
        <x:v>agreement_audit</x:v>
      </x:c>
      <x:c r="C20" s="48" t="str">
        <x:v>agreement_audit</x:v>
      </x:c>
      <x:c r="D20" s="48" t="str">
        <x:v>review-initial-0089</x:v>
      </x:c>
      <x:c r="E20" s="48" t="str">
        <x:v>draft-kir-pilot-0098</x:v>
      </x:c>
      <x:c r="F20" s="49" t="str">
        <x:v>窗外正在下雨。正在考虑下一项活动。</x:v>
      </x:c>
      <x:c r="G20" s="49" t="str">
        <x:v>Kindred: 我刚才还考虑过先休息。
User: 那只是之前的候选，你现在怎么决定？
Kindred: 现在把客厅地板彻底吸尘一遍。</x:v>
      </x:c>
      <x:c r="H20" s="49" t="str"/>
      <x:c r="I20" s="50" t="str">
        <x:v>oos</x:v>
      </x:c>
      <x:c r="J20" s="50" t="str"/>
      <x:c r="K20" s="50" t="str">
        <x:v>now</x:v>
      </x:c>
      <x:c r="L20" s="50" t="str">
        <x:v>把客厅地板彻底吸尘</x:v>
      </x:c>
      <x:c r="M20" s="50" t="str">
        <x:v>object=客厅地板</x:v>
      </x:c>
      <x:c r="N20" s="51" t="str">
        <x:v>oos</x:v>
      </x:c>
      <x:c r="O20" s="51" t="str"/>
      <x:c r="P20" s="51" t="str">
        <x:v>now</x:v>
      </x:c>
      <x:c r="Q20" s="51" t="str">
        <x:v>现在把客厅地板彻底吸尘一遍。</x:v>
      </x:c>
      <x:c r="R20" s="51" t="str">
        <x:v>experience=现在把客厅地板彻底吸尘一遍</x:v>
      </x:c>
      <x:c r="S20" s="48" t="str">
        <x:v>multi_turn, far_oos, slot_required, multi_turn_override, context_distractor</x:v>
      </x:c>
      <x:c r="T20" s="48" t="str"/>
      <x:c r="U20" s="52" t="str">
        <x:v>confirm_agreement</x:v>
      </x:c>
      <x:c r="V20" s="52" t="str">
        <x:v>人工标签与草稿的 decision、in-scope target 和 horizon 一致; 用于抽样检查共同偏差。</x:v>
      </x:c>
      <x:c r="W20" s="53" t="str">
        <x:v>确认一致标签</x:v>
      </x:c>
      <x:c r="X20" s="53" t="str">
        <x:v>oos</x:v>
      </x:c>
      <x:c r="Y20" s="53" t="str"/>
      <x:c r="Z20" s="53" t="str">
        <x:v>now</x:v>
      </x:c>
      <x:c r="AA20" s="53" t="str">
        <x:v>人工与草稿的受控标签一致，保留一致标签。</x:v>
      </x:c>
      <x:c r="AB20" s="53" t="str"/>
      <x:c r="AC20" s="51" t="str">
        <x:f>IF(W20="","待仲裁",IF(W20="重写或删除样本",IF(AA20="","缺 rationale","完成"),IF(X20="","缺 final_decision",IF(Z20="","缺 final_horizon",IF(AND(X20="in_scope",Y20=""),"缺 final_target",IF(AND(X20&lt;&gt;"in_scope",Y20&lt;&gt;""),"非 in_scope 请清空 target",IF(AA20="","缺 rationale",IF(AND(W20="修改分类规则",AB20=""),"缺 taxonomy 说明","完成"))))))))</x:f>
        <x:v>完成</x:v>
      </x:c>
      <x:c r="AD20" s="55" t="n">
        <x:f>IF(AC20="完成",1,0)</x:f>
        <x:v>1</x:v>
      </x:c>
      <x:c r="AE20" s="55" t="n">
        <x:f>IF(AC20="完成",0,1)</x:f>
        <x:v>0</x:v>
      </x:c>
    </x:row>
    <x:row r="21" ht="96" customHeight="1">
      <x:c r="A21" s="48" t="str">
        <x:v>adjudication-0020</x:v>
      </x:c>
      <x:c r="B21" s="48" t="str">
        <x:v>agreement_audit</x:v>
      </x:c>
      <x:c r="C21" s="48" t="str">
        <x:v>agreement_audit</x:v>
      </x:c>
      <x:c r="D21" s="48" t="str">
        <x:v>review-initial-0030</x:v>
      </x:c>
      <x:c r="E21" s="48" t="str">
        <x:v>draft-kir-pilot-0127</x:v>
      </x:c>
      <x:c r="F21" s="49" t="str">
        <x:v>画具已经摆在桌上，我现在没有创作打算。</x:v>
      </x:c>
      <x:c r="G21" s="49" t="str"/>
      <x:c r="H21" s="49" t="str"/>
      <x:c r="I21" s="50" t="str">
        <x:v>no_intent</x:v>
      </x:c>
      <x:c r="J21" s="50" t="str"/>
      <x:c r="K21" s="50" t="str">
        <x:v>now</x:v>
      </x:c>
      <x:c r="L21" s="50" t="str">
        <x:v>没有创作打算</x:v>
      </x:c>
      <x:c r="M21" s="50" t="str"/>
      <x:c r="N21" s="51" t="str">
        <x:v>no_intent</x:v>
      </x:c>
      <x:c r="O21" s="51" t="str"/>
      <x:c r="P21" s="51" t="str">
        <x:v>now</x:v>
      </x:c>
      <x:c r="Q21" s="51" t="str">
        <x:v>画具已经摆在桌上，我现在没有创作打算。</x:v>
      </x:c>
      <x:c r="R21" s="51" t="str"/>
      <x:c r="S21" s="48" t="str">
        <x:v>single_turn, quiet_control, hard_negative, context_control</x:v>
      </x:c>
      <x:c r="T21" s="48" t="str">
        <x:v>create_picture</x:v>
      </x:c>
      <x:c r="U21" s="52" t="str">
        <x:v>confirm_agreement</x:v>
      </x:c>
      <x:c r="V21" s="52" t="str">
        <x:v>人工标签与草稿的 decision、in-scope target 和 horizon 一致; 用于抽样检查共同偏差。</x:v>
      </x:c>
      <x:c r="W21" s="53" t="str">
        <x:v>确认一致标签</x:v>
      </x:c>
      <x:c r="X21" s="53" t="str">
        <x:v>no_intent</x:v>
      </x:c>
      <x:c r="Y21" s="53" t="str"/>
      <x:c r="Z21" s="53" t="str">
        <x:v>now</x:v>
      </x:c>
      <x:c r="AA21" s="53" t="str">
        <x:v>人工与草稿的受控标签一致，保留一致标签。</x:v>
      </x:c>
      <x:c r="AB21" s="53" t="str"/>
      <x:c r="AC21" s="51" t="str">
        <x:f>IF(W21="","待仲裁",IF(W21="重写或删除样本",IF(AA21="","缺 rationale","完成"),IF(X21="","缺 final_decision",IF(Z21="","缺 final_horizon",IF(AND(X21="in_scope",Y21=""),"缺 final_target",IF(AND(X21&lt;&gt;"in_scope",Y21&lt;&gt;""),"非 in_scope 请清空 target",IF(AA21="","缺 rationale",IF(AND(W21="修改分类规则",AB21=""),"缺 taxonomy 说明","完成"))))))))</x:f>
        <x:v>完成</x:v>
      </x:c>
      <x:c r="AD21" s="55" t="n">
        <x:f>IF(AC21="完成",1,0)</x:f>
        <x:v>1</x:v>
      </x:c>
      <x:c r="AE21" s="55" t="n">
        <x:f>IF(AC21="完成",0,1)</x:f>
        <x:v>0</x:v>
      </x:c>
    </x:row>
    <x:row r="22" ht="96" customHeight="1">
      <x:c r="A22" s="48" t="str">
        <x:v>adjudication-0021</x:v>
      </x:c>
      <x:c r="B22" s="48" t="str">
        <x:v>agreement_audit</x:v>
      </x:c>
      <x:c r="C22" s="48" t="str">
        <x:v>agreement_audit</x:v>
      </x:c>
      <x:c r="D22" s="48" t="str">
        <x:v>review-initial-0113</x:v>
      </x:c>
      <x:c r="E22" s="48" t="str">
        <x:v>draft-kir-pilot-0146</x:v>
      </x:c>
      <x:c r="F22" s="49" t="str">
        <x:v>想给你发消息，或者先刷会儿公开帖子，哪个都行。</x:v>
      </x:c>
      <x:c r="G22" s="49" t="str"/>
      <x:c r="H22" s="49" t="str"/>
      <x:c r="I22" s="50" t="str">
        <x:v>ambiguous</x:v>
      </x:c>
      <x:c r="J22" s="50" t="str"/>
      <x:c r="K22" s="50" t="str">
        <x:v>now</x:v>
      </x:c>
      <x:c r="L22" s="50" t="str">
        <x:v>给你发消息，或者先刷会儿公开帖子</x:v>
      </x:c>
      <x:c r="M22" s="50" t="str"/>
      <x:c r="N22" s="51" t="str">
        <x:v>ambiguous</x:v>
      </x:c>
      <x:c r="O22" s="51" t="str"/>
      <x:c r="P22" s="51" t="str">
        <x:v>now</x:v>
      </x:c>
      <x:c r="Q22" s="51" t="str">
        <x:v>想给你发消息，或者先刷会儿公开帖子，哪个都行。</x:v>
      </x:c>
      <x:c r="R22" s="51" t="str"/>
      <x:c r="S22" s="48" t="str">
        <x:v>single_turn, slot_required</x:v>
      </x:c>
      <x:c r="T22" s="48" t="str"/>
      <x:c r="U22" s="52" t="str">
        <x:v>confirm_agreement</x:v>
      </x:c>
      <x:c r="V22" s="52" t="str">
        <x:v>人工标签与草稿的 decision、in-scope target 和 horizon 一致; 用于抽样检查共同偏差。</x:v>
      </x:c>
      <x:c r="W22" s="53" t="str">
        <x:v>确认一致标签</x:v>
      </x:c>
      <x:c r="X22" s="53" t="str">
        <x:v>ambiguous</x:v>
      </x:c>
      <x:c r="Y22" s="53" t="str"/>
      <x:c r="Z22" s="53" t="str">
        <x:v>now</x:v>
      </x:c>
      <x:c r="AA22" s="53" t="str">
        <x:v>人工与草稿的受控标签一致，保留一致标签。</x:v>
      </x:c>
      <x:c r="AB22" s="53" t="str"/>
      <x:c r="AC22" s="51" t="str">
        <x:f>IF(W22="","待仲裁",IF(W22="重写或删除样本",IF(AA22="","缺 rationale","完成"),IF(X22="","缺 final_decision",IF(Z22="","缺 final_horizon",IF(AND(X22="in_scope",Y22=""),"缺 final_target",IF(AND(X22&lt;&gt;"in_scope",Y22&lt;&gt;""),"非 in_scope 请清空 target",IF(AA22="","缺 rationale",IF(AND(W22="修改分类规则",AB22=""),"缺 taxonomy 说明","完成"))))))))</x:f>
        <x:v>完成</x:v>
      </x:c>
      <x:c r="AD22" s="55" t="n">
        <x:f>IF(AC22="完成",1,0)</x:f>
        <x:v>1</x:v>
      </x:c>
      <x:c r="AE22" s="55" t="n">
        <x:f>IF(AC22="完成",0,1)</x:f>
        <x:v>0</x:v>
      </x:c>
    </x:row>
    <x:row r="23" ht="96" customHeight="1">
      <x:c r="A23" s="48" t="str">
        <x:v>adjudication-0022</x:v>
      </x:c>
      <x:c r="B23" s="48" t="str">
        <x:v>agreement_audit</x:v>
      </x:c>
      <x:c r="C23" s="48" t="str">
        <x:v>agreement_audit</x:v>
      </x:c>
      <x:c r="D23" s="48" t="str">
        <x:v>review-initial-0131</x:v>
      </x:c>
      <x:c r="E23" s="48" t="str">
        <x:v>draft-kir-pilot-0037</x:v>
      </x:c>
      <x:c r="F23" s="49" t="str">
        <x:v>接下来翻翻别人最近晒出的植物养护经验。</x:v>
      </x:c>
      <x:c r="G23" s="49" t="str"/>
      <x:c r="H23" s="49" t="str"/>
      <x:c r="I23" s="50" t="str">
        <x:v>in_scope</x:v>
      </x:c>
      <x:c r="J23" s="50" t="str">
        <x:v>play_xiaohongshu</x:v>
      </x:c>
      <x:c r="K23" s="50" t="str">
        <x:v>now</x:v>
      </x:c>
      <x:c r="L23" s="50" t="str">
        <x:v>翻翻别人最近晒出的植物养护经验</x:v>
      </x:c>
      <x:c r="M23" s="50" t="str">
        <x:v>experience=学习经验
object=养护经验</x:v>
      </x:c>
      <x:c r="N23" s="51" t="str">
        <x:v>in_scope</x:v>
      </x:c>
      <x:c r="O23" s="51" t="str">
        <x:v>play_xiaohongshu</x:v>
      </x:c>
      <x:c r="P23" s="51" t="str">
        <x:v>now</x:v>
      </x:c>
      <x:c r="Q23" s="51" t="str">
        <x:v>接下来翻翻别人最近晒出的植物养护经验。</x:v>
      </x:c>
      <x:c r="R23" s="51" t="str">
        <x:v>experience=浏览他人公开分享的生活内容
object=公开生活帖子</x:v>
      </x:c>
      <x:c r="S23" s="48" t="str">
        <x:v>single_turn, slot_required, brandless_xhs, hypothesized_weak_model_probe</x:v>
      </x:c>
      <x:c r="T23" s="48" t="str"/>
      <x:c r="U23" s="52" t="str">
        <x:v>confirm_agreement</x:v>
      </x:c>
      <x:c r="V23" s="52" t="str">
        <x:v>人工标签与草稿的 decision、in-scope target 和 horizon 一致; 用于抽样检查共同偏差。</x:v>
      </x:c>
      <x:c r="W23" s="53" t="str">
        <x:v>确认一致标签</x:v>
      </x:c>
      <x:c r="X23" s="53" t="str">
        <x:v>in_scope</x:v>
      </x:c>
      <x:c r="Y23" s="53" t="str">
        <x:v>play_xiaohongshu</x:v>
      </x:c>
      <x:c r="Z23" s="53" t="str">
        <x:v>now</x:v>
      </x:c>
      <x:c r="AA23" s="53" t="str">
        <x:v>人工与草稿的受控标签一致，保留一致标签。</x:v>
      </x:c>
      <x:c r="AB23" s="53" t="str"/>
      <x:c r="AC23" s="51" t="str">
        <x:f>IF(W23="","待仲裁",IF(W23="重写或删除样本",IF(AA23="","缺 rationale","完成"),IF(X23="","缺 final_decision",IF(Z23="","缺 final_horizon",IF(AND(X23="in_scope",Y23=""),"缺 final_target",IF(AND(X23&lt;&gt;"in_scope",Y23&lt;&gt;""),"非 in_scope 请清空 target",IF(AA23="","缺 rationale",IF(AND(W23="修改分类规则",AB23=""),"缺 taxonomy 说明","完成"))))))))</x:f>
        <x:v>完成</x:v>
      </x:c>
      <x:c r="AD23" s="55" t="n">
        <x:f>IF(AC23="完成",1,0)</x:f>
        <x:v>1</x:v>
      </x:c>
      <x:c r="AE23" s="55" t="n">
        <x:f>IF(AC23="完成",0,1)</x:f>
        <x:v>0</x:v>
      </x:c>
    </x:row>
    <x:row r="24" ht="96" customHeight="1">
      <x:c r="A24" s="48" t="str">
        <x:v>adjudication-0023</x:v>
      </x:c>
      <x:c r="B24" s="48" t="str">
        <x:v>agreement_audit</x:v>
      </x:c>
      <x:c r="C24" s="48" t="str">
        <x:v>agreement_audit</x:v>
      </x:c>
      <x:c r="D24" s="48" t="str">
        <x:v>review-initial-0040</x:v>
      </x:c>
      <x:c r="E24" s="48" t="str">
        <x:v>draft-kir-pilot-0115</x:v>
      </x:c>
      <x:c r="F24" s="49" t="str">
        <x:v>肚子有点饿，不过暂时不准备吃东西。</x:v>
      </x:c>
      <x:c r="G24" s="49" t="str"/>
      <x:c r="H24" s="49" t="str"/>
      <x:c r="I24" s="50" t="str">
        <x:v>no_intent</x:v>
      </x:c>
      <x:c r="J24" s="50" t="str"/>
      <x:c r="K24" s="50" t="str">
        <x:v>now</x:v>
      </x:c>
      <x:c r="L24" s="50" t="str">
        <x:v>不准备吃东西</x:v>
      </x:c>
      <x:c r="M24" s="50" t="str"/>
      <x:c r="N24" s="51" t="str">
        <x:v>no_intent</x:v>
      </x:c>
      <x:c r="O24" s="51" t="str"/>
      <x:c r="P24" s="51" t="str">
        <x:v>now</x:v>
      </x:c>
      <x:c r="Q24" s="51" t="str">
        <x:v>肚子有点饿，不过暂时不准备吃东西。</x:v>
      </x:c>
      <x:c r="R24" s="51" t="str"/>
      <x:c r="S24" s="48" t="str">
        <x:v>single_turn, quiet_control, hard_negative, rest_eat_confusion, hypothesized_weak_model_probe, context_control</x:v>
      </x:c>
      <x:c r="T24" s="48" t="str">
        <x:v>eat_at_home</x:v>
      </x:c>
      <x:c r="U24" s="52" t="str">
        <x:v>confirm_agreement</x:v>
      </x:c>
      <x:c r="V24" s="52" t="str">
        <x:v>人工标签与草稿的 decision、in-scope target 和 horizon 一致; 用于抽样检查共同偏差。</x:v>
      </x:c>
      <x:c r="W24" s="53" t="str">
        <x:v>确认一致标签</x:v>
      </x:c>
      <x:c r="X24" s="53" t="str">
        <x:v>no_intent</x:v>
      </x:c>
      <x:c r="Y24" s="53" t="str"/>
      <x:c r="Z24" s="53" t="str">
        <x:v>now</x:v>
      </x:c>
      <x:c r="AA24" s="53" t="str">
        <x:v>人工与草稿的受控标签一致，保留一致标签。</x:v>
      </x:c>
      <x:c r="AB24" s="53" t="str"/>
      <x:c r="AC24" s="51" t="str">
        <x:f>IF(W24="","待仲裁",IF(W24="重写或删除样本",IF(AA24="","缺 rationale","完成"),IF(X24="","缺 final_decision",IF(Z24="","缺 final_horizon",IF(AND(X24="in_scope",Y24=""),"缺 final_target",IF(AND(X24&lt;&gt;"in_scope",Y24&lt;&gt;""),"非 in_scope 请清空 target",IF(AA24="","缺 rationale",IF(AND(W24="修改分类规则",AB24=""),"缺 taxonomy 说明","完成"))))))))</x:f>
        <x:v>完成</x:v>
      </x:c>
      <x:c r="AD24" s="55" t="n">
        <x:f>IF(AC24="完成",1,0)</x:f>
        <x:v>1</x:v>
      </x:c>
      <x:c r="AE24" s="55" t="n">
        <x:f>IF(AC24="完成",0,1)</x:f>
        <x:v>0</x:v>
      </x:c>
    </x:row>
    <x:row r="25" ht="96" customHeight="1">
      <x:c r="A25" s="48" t="str">
        <x:v>adjudication-0024</x:v>
      </x:c>
      <x:c r="B25" s="48" t="str">
        <x:v>agreement_audit</x:v>
      </x:c>
      <x:c r="C25" s="48" t="str">
        <x:v>agreement_audit</x:v>
      </x:c>
      <x:c r="D25" s="48" t="str">
        <x:v>review-initial-0104</x:v>
      </x:c>
      <x:c r="E25" s="48" t="str">
        <x:v>draft-kir-pilot-0083</x:v>
      </x:c>
      <x:c r="F25" s="49" t="str">
        <x:v>正在考虑下一项活动。</x:v>
      </x:c>
      <x:c r="G25" s="49" t="str">
        <x:v>User: 你前面说了几个可能，现在有唯一选择吗？
Kindred: 去咖啡馆参加读书会，不打算点任何吃喝。</x:v>
      </x:c>
      <x:c r="H25" s="49" t="str"/>
      <x:c r="I25" s="50" t="str">
        <x:v>oos</x:v>
      </x:c>
      <x:c r="J25" s="50" t="str"/>
      <x:c r="K25" s="50" t="str">
        <x:v>now</x:v>
      </x:c>
      <x:c r="L25" s="50" t="str">
        <x:v>去咖啡馆参加读书会</x:v>
      </x:c>
      <x:c r="M25" s="50" t="str">
        <x:v>object=读书会</x:v>
      </x:c>
      <x:c r="N25" s="51" t="str">
        <x:v>oos</x:v>
      </x:c>
      <x:c r="O25" s="51" t="str"/>
      <x:c r="P25" s="51" t="str">
        <x:v>now</x:v>
      </x:c>
      <x:c r="Q25" s="51" t="str">
        <x:v>去咖啡馆参加读书会，不打算点任何吃喝。</x:v>
      </x:c>
      <x:c r="R25" s="51" t="str">
        <x:v>experience=去咖啡馆参加读书会，不打算点任何吃喝</x:v>
      </x:c>
      <x:c r="S25" s="48" t="str">
        <x:v>multi_turn, near_oos, hard_negative, hypothesized_weak_model_probe, slot_required, multi_turn_resolution</x:v>
      </x:c>
      <x:c r="T25" s="48" t="str">
        <x:v>dine_out</x:v>
      </x:c>
      <x:c r="U25" s="52" t="str">
        <x:v>confirm_agreement</x:v>
      </x:c>
      <x:c r="V25" s="52" t="str">
        <x:v>人工标签与草稿的 decision、in-scope target 和 horizon 一致; 用于抽样检查共同偏差。</x:v>
      </x:c>
      <x:c r="W25" s="53" t="str">
        <x:v>确认一致标签</x:v>
      </x:c>
      <x:c r="X25" s="53" t="str">
        <x:v>oos</x:v>
      </x:c>
      <x:c r="Y25" s="53" t="str"/>
      <x:c r="Z25" s="53" t="str">
        <x:v>now</x:v>
      </x:c>
      <x:c r="AA25" s="53" t="str">
        <x:v>人工与草稿的受控标签一致，保留一致标签。</x:v>
      </x:c>
      <x:c r="AB25" s="53" t="str"/>
      <x:c r="AC25" s="51" t="str">
        <x:f>IF(W25="","待仲裁",IF(W25="重写或删除样本",IF(AA25="","缺 rationale","完成"),IF(X25="","缺 final_decision",IF(Z25="","缺 final_horizon",IF(AND(X25="in_scope",Y25=""),"缺 final_target",IF(AND(X25&lt;&gt;"in_scope",Y25&lt;&gt;""),"非 in_scope 请清空 target",IF(AA25="","缺 rationale",IF(AND(W25="修改分类规则",AB25=""),"缺 taxonomy 说明","完成"))))))))</x:f>
        <x:v>完成</x:v>
      </x:c>
      <x:c r="AD25" s="55" t="n">
        <x:f>IF(AC25="完成",1,0)</x:f>
        <x:v>1</x:v>
      </x:c>
      <x:c r="AE25" s="55" t="n">
        <x:f>IF(AC25="完成",0,1)</x:f>
        <x:v>0</x:v>
      </x:c>
    </x:row>
    <x:row r="26" ht="96" customHeight="1">
      <x:c r="A26" s="48" t="str">
        <x:v>adjudication-0025</x:v>
      </x:c>
      <x:c r="B26" s="48" t="str">
        <x:v>agreement_audit</x:v>
      </x:c>
      <x:c r="C26" s="48" t="str">
        <x:v>agreement_audit</x:v>
      </x:c>
      <x:c r="D26" s="48" t="str">
        <x:v>review-initial-0146</x:v>
      </x:c>
      <x:c r="E26" s="48" t="str">
        <x:v>draft-kir-pilot-0108</x:v>
      </x:c>
      <x:c r="F26" s="49" t="str">
        <x:v>想给阳台上的植物浇水和修剪叶子。</x:v>
      </x:c>
      <x:c r="G26" s="49" t="str"/>
      <x:c r="H26" s="49" t="str"/>
      <x:c r="I26" s="50" t="str">
        <x:v>oos</x:v>
      </x:c>
      <x:c r="J26" s="50" t="str"/>
      <x:c r="K26" s="50" t="str">
        <x:v>now</x:v>
      </x:c>
      <x:c r="L26" s="50" t="str">
        <x:v>给阳台上的植物浇水</x:v>
      </x:c>
      <x:c r="M26" s="50" t="str">
        <x:v>object=植物</x:v>
      </x:c>
      <x:c r="N26" s="51" t="str">
        <x:v>oos</x:v>
      </x:c>
      <x:c r="O26" s="51" t="str"/>
      <x:c r="P26" s="51" t="str">
        <x:v>now</x:v>
      </x:c>
      <x:c r="Q26" s="51" t="str">
        <x:v>想给阳台上的植物浇水和修剪叶子。</x:v>
      </x:c>
      <x:c r="R26" s="51" t="str">
        <x:v>experience=想给阳台上的植物浇水和修剪叶子</x:v>
      </x:c>
      <x:c r="S26" s="48" t="str">
        <x:v>single_turn, far_oos, slot_required</x:v>
      </x:c>
      <x:c r="T26" s="48" t="str"/>
      <x:c r="U26" s="52" t="str">
        <x:v>confirm_agreement</x:v>
      </x:c>
      <x:c r="V26" s="52" t="str">
        <x:v>人工标签与草稿的 decision、in-scope target 和 horizon 一致; 用于抽样检查共同偏差。</x:v>
      </x:c>
      <x:c r="W26" s="53" t="str">
        <x:v>确认一致标签</x:v>
      </x:c>
      <x:c r="X26" s="53" t="str">
        <x:v>oos</x:v>
      </x:c>
      <x:c r="Y26" s="53" t="str"/>
      <x:c r="Z26" s="53" t="str">
        <x:v>now</x:v>
      </x:c>
      <x:c r="AA26" s="53" t="str">
        <x:v>人工与草稿的受控标签一致，保留一致标签。</x:v>
      </x:c>
      <x:c r="AB26" s="53" t="str"/>
      <x:c r="AC26" s="51" t="str">
        <x:f>IF(W26="","待仲裁",IF(W26="重写或删除样本",IF(AA26="","缺 rationale","完成"),IF(X26="","缺 final_decision",IF(Z26="","缺 final_horizon",IF(AND(X26="in_scope",Y26=""),"缺 final_target",IF(AND(X26&lt;&gt;"in_scope",Y26&lt;&gt;""),"非 in_scope 请清空 target",IF(AA26="","缺 rationale",IF(AND(W26="修改分类规则",AB26=""),"缺 taxonomy 说明","完成"))))))))</x:f>
        <x:v>完成</x:v>
      </x:c>
      <x:c r="AD26" s="55" t="n">
        <x:f>IF(AC26="完成",1,0)</x:f>
        <x:v>1</x:v>
      </x:c>
      <x:c r="AE26" s="55" t="n">
        <x:f>IF(AC26="完成",0,1)</x:f>
        <x:v>0</x:v>
      </x:c>
    </x:row>
    <x:row r="27" ht="96" customHeight="1">
      <x:c r="A27" s="48" t="str">
        <x:v>adjudication-0026</x:v>
      </x:c>
      <x:c r="B27" s="48" t="str">
        <x:v>agreement_audit</x:v>
      </x:c>
      <x:c r="C27" s="48" t="str">
        <x:v>agreement_audit</x:v>
      </x:c>
      <x:c r="D27" s="48" t="str">
        <x:v>review-initial-0093</x:v>
      </x:c>
      <x:c r="E27" s="48" t="str">
        <x:v>draft-kir-pilot-0117</x:v>
      </x:c>
      <x:c r="F27" s="49" t="str">
        <x:v>正在考虑下一项活动。</x:v>
      </x:c>
      <x:c r="G27" s="49" t="str">
        <x:v>Kindred: 我原来想晚点再决定。
User: 以你此刻的决定为准。
Kindred: 已经到晚饭时间了，我还没有决定要不要吃东西。</x:v>
      </x:c>
      <x:c r="H27" s="49" t="str"/>
      <x:c r="I27" s="50" t="str">
        <x:v>no_intent</x:v>
      </x:c>
      <x:c r="J27" s="50" t="str"/>
      <x:c r="K27" s="50" t="str">
        <x:v>now</x:v>
      </x:c>
      <x:c r="L27" s="50" t="str">
        <x:v>还没有决定要不要吃东西</x:v>
      </x:c>
      <x:c r="M27" s="50" t="str"/>
      <x:c r="N27" s="51" t="str">
        <x:v>no_intent</x:v>
      </x:c>
      <x:c r="O27" s="51" t="str"/>
      <x:c r="P27" s="51" t="str">
        <x:v>now</x:v>
      </x:c>
      <x:c r="Q27" s="51" t="str">
        <x:v>已经到晚饭时间了，我还没有决定要不要吃东西。</x:v>
      </x:c>
      <x:c r="R27" s="51" t="str"/>
      <x:c r="S27" s="48" t="str">
        <x:v>multi_turn, quiet_control, hard_negative, multi_turn_reconsideration, context_control</x:v>
      </x:c>
      <x:c r="T27" s="48" t="str">
        <x:v>eat_at_home, dine_out</x:v>
      </x:c>
      <x:c r="U27" s="52" t="str">
        <x:v>confirm_agreement</x:v>
      </x:c>
      <x:c r="V27" s="52" t="str">
        <x:v>人工标签与草稿的 decision、in-scope target 和 horizon 一致; 用于抽样检查共同偏差。</x:v>
      </x:c>
      <x:c r="W27" s="53" t="str">
        <x:v>确认一致标签</x:v>
      </x:c>
      <x:c r="X27" s="53" t="str">
        <x:v>no_intent</x:v>
      </x:c>
      <x:c r="Y27" s="53" t="str"/>
      <x:c r="Z27" s="53" t="str">
        <x:v>now</x:v>
      </x:c>
      <x:c r="AA27" s="53" t="str">
        <x:v>人工与草稿的受控标签一致，保留一致标签。</x:v>
      </x:c>
      <x:c r="AB27" s="53" t="str"/>
      <x:c r="AC27" s="51" t="str">
        <x:f>IF(W27="","待仲裁",IF(W27="重写或删除样本",IF(AA27="","缺 rationale","完成"),IF(X27="","缺 final_decision",IF(Z27="","缺 final_horizon",IF(AND(X27="in_scope",Y27=""),"缺 final_target",IF(AND(X27&lt;&gt;"in_scope",Y27&lt;&gt;""),"非 in_scope 请清空 target",IF(AA27="","缺 rationale",IF(AND(W27="修改分类规则",AB27=""),"缺 taxonomy 说明","完成"))))))))</x:f>
        <x:v>完成</x:v>
      </x:c>
      <x:c r="AD27" s="55" t="n">
        <x:f>IF(AC27="完成",1,0)</x:f>
        <x:v>1</x:v>
      </x:c>
      <x:c r="AE27" s="55" t="n">
        <x:f>IF(AC27="完成",0,1)</x:f>
        <x:v>0</x:v>
      </x:c>
    </x:row>
    <x:row r="28" ht="96" customHeight="1">
      <x:c r="A28" s="48" t="str">
        <x:v>adjudication-0027</x:v>
      </x:c>
      <x:c r="B28" s="48" t="str">
        <x:v>agreement_audit</x:v>
      </x:c>
      <x:c r="C28" s="48" t="str">
        <x:v>agreement_audit</x:v>
      </x:c>
      <x:c r="D28" s="48" t="str">
        <x:v>review-initial-0024</x:v>
      </x:c>
      <x:c r="E28" s="48" t="str">
        <x:v>draft-kir-pilot-0054</x:v>
      </x:c>
      <x:c r="F28" s="49" t="str">
        <x:v>现在临近晚饭时间。接下来闭上眼安静放松十分钟。</x:v>
      </x:c>
      <x:c r="G28" s="49" t="str"/>
      <x:c r="H28" s="49" t="str"/>
      <x:c r="I28" s="50" t="str">
        <x:v>in_scope</x:v>
      </x:c>
      <x:c r="J28" s="50" t="str">
        <x:v>rest</x:v>
      </x:c>
      <x:c r="K28" s="50" t="str">
        <x:v>now</x:v>
      </x:c>
      <x:c r="L28" s="50" t="str">
        <x:v>闭上眼安静放松</x:v>
      </x:c>
      <x:c r="M28" s="50" t="str">
        <x:v>experience=放松</x:v>
      </x:c>
      <x:c r="N28" s="51" t="str">
        <x:v>in_scope</x:v>
      </x:c>
      <x:c r="O28" s="51" t="str">
        <x:v>rest</x:v>
      </x:c>
      <x:c r="P28" s="51" t="str">
        <x:v>now</x:v>
      </x:c>
      <x:c r="Q28" s="51" t="str">
        <x:v>接下来闭上眼安静放松十分钟。</x:v>
      </x:c>
      <x:c r="R28" s="51" t="str">
        <x:v>experience=暂停行动并安静休息
object=休息时段</x:v>
      </x:c>
      <x:c r="S28" s="48" t="str">
        <x:v>single_turn, slot_required, rest_eat_confusion, hypothesized_weak_model_probe, context_distractor</x:v>
      </x:c>
      <x:c r="T28" s="48" t="str"/>
      <x:c r="U28" s="52" t="str">
        <x:v>confirm_agreement</x:v>
      </x:c>
      <x:c r="V28" s="52" t="str">
        <x:v>人工标签与草稿的 decision、in-scope target 和 horizon 一致; 用于抽样检查共同偏差。</x:v>
      </x:c>
      <x:c r="W28" s="53" t="str">
        <x:v>确认一致标签</x:v>
      </x:c>
      <x:c r="X28" s="53" t="str">
        <x:v>in_scope</x:v>
      </x:c>
      <x:c r="Y28" s="53" t="str">
        <x:v>rest</x:v>
      </x:c>
      <x:c r="Z28" s="53" t="str">
        <x:v>now</x:v>
      </x:c>
      <x:c r="AA28" s="53" t="str">
        <x:v>人工与草稿的受控标签一致，保留一致标签。</x:v>
      </x:c>
      <x:c r="AB28" s="53" t="str"/>
      <x:c r="AC28" s="51" t="str">
        <x:f>IF(W28="","待仲裁",IF(W28="重写或删除样本",IF(AA28="","缺 rationale","完成"),IF(X28="","缺 final_decision",IF(Z28="","缺 final_horizon",IF(AND(X28="in_scope",Y28=""),"缺 final_target",IF(AND(X28&lt;&gt;"in_scope",Y28&lt;&gt;""),"非 in_scope 请清空 target",IF(AA28="","缺 rationale",IF(AND(W28="修改分类规则",AB28=""),"缺 taxonomy 说明","完成"))))))))</x:f>
        <x:v>完成</x:v>
      </x:c>
      <x:c r="AD28" s="55" t="n">
        <x:f>IF(AC28="完成",1,0)</x:f>
        <x:v>1</x:v>
      </x:c>
      <x:c r="AE28" s="55" t="n">
        <x:f>IF(AC28="完成",0,1)</x:f>
        <x:v>0</x:v>
      </x:c>
    </x:row>
    <x:row r="29" ht="96" customHeight="1">
      <x:c r="A29" s="48" t="str">
        <x:v>adjudication-0028</x:v>
      </x:c>
      <x:c r="B29" s="48" t="str">
        <x:v>agreement_audit</x:v>
      </x:c>
      <x:c r="C29" s="48" t="str">
        <x:v>agreement_audit</x:v>
      </x:c>
      <x:c r="D29" s="48" t="str">
        <x:v>review-initial-0012</x:v>
      </x:c>
      <x:c r="E29" s="48" t="str">
        <x:v>draft-kir-pilot-0084</x:v>
      </x:c>
      <x:c r="F29" s="49" t="str">
        <x:v>去小馆只取回落下的雨伞，不在那里吃饭。</x:v>
      </x:c>
      <x:c r="G29" s="49" t="str"/>
      <x:c r="H29" s="49" t="str"/>
      <x:c r="I29" s="50" t="str">
        <x:v>oos</x:v>
      </x:c>
      <x:c r="J29" s="50" t="str"/>
      <x:c r="K29" s="50" t="str">
        <x:v>now</x:v>
      </x:c>
      <x:c r="L29" s="50" t="str">
        <x:v>去小馆只取回落下的雨伞</x:v>
      </x:c>
      <x:c r="M29" s="50" t="str">
        <x:v>experience=寻回失物
object=小馆</x:v>
      </x:c>
      <x:c r="N29" s="51" t="str">
        <x:v>oos</x:v>
      </x:c>
      <x:c r="O29" s="51" t="str"/>
      <x:c r="P29" s="51" t="str">
        <x:v>now</x:v>
      </x:c>
      <x:c r="Q29" s="51" t="str">
        <x:v>去小馆只取回落下的雨伞，不在那里吃饭。</x:v>
      </x:c>
      <x:c r="R29" s="51" t="str">
        <x:v>experience=去小馆只取回落下的雨伞，不在那里吃饭</x:v>
      </x:c>
      <x:c r="S29" s="48" t="str">
        <x:v>single_turn, near_oos, hard_negative, hypothesized_weak_model_probe, slot_required</x:v>
      </x:c>
      <x:c r="T29" s="48" t="str">
        <x:v>dine_out</x:v>
      </x:c>
      <x:c r="U29" s="52" t="str">
        <x:v>confirm_agreement</x:v>
      </x:c>
      <x:c r="V29" s="52" t="str">
        <x:v>人工标签与草稿的 decision、in-scope target 和 horizon 一致; 用于抽样检查共同偏差。</x:v>
      </x:c>
      <x:c r="W29" s="53" t="str">
        <x:v>确认一致标签</x:v>
      </x:c>
      <x:c r="X29" s="53" t="str">
        <x:v>oos</x:v>
      </x:c>
      <x:c r="Y29" s="53" t="str"/>
      <x:c r="Z29" s="53" t="str">
        <x:v>now</x:v>
      </x:c>
      <x:c r="AA29" s="53" t="str">
        <x:v>人工与草稿的受控标签一致，保留一致标签。</x:v>
      </x:c>
      <x:c r="AB29" s="53" t="str"/>
      <x:c r="AC29" s="51" t="str">
        <x:f>IF(W29="","待仲裁",IF(W29="重写或删除样本",IF(AA29="","缺 rationale","完成"),IF(X29="","缺 final_decision",IF(Z29="","缺 final_horizon",IF(AND(X29="in_scope",Y29=""),"缺 final_target",IF(AND(X29&lt;&gt;"in_scope",Y29&lt;&gt;""),"非 in_scope 请清空 target",IF(AA29="","缺 rationale",IF(AND(W29="修改分类规则",AB29=""),"缺 taxonomy 说明","完成"))))))))</x:f>
        <x:v>完成</x:v>
      </x:c>
      <x:c r="AD29" s="55" t="n">
        <x:f>IF(AC29="完成",1,0)</x:f>
        <x:v>1</x:v>
      </x:c>
      <x:c r="AE29" s="55" t="n">
        <x:f>IF(AC29="完成",0,1)</x:f>
        <x:v>0</x:v>
      </x:c>
    </x:row>
    <x:row r="30" ht="96" customHeight="1">
      <x:c r="A30" s="48" t="str">
        <x:v>adjudication-0029</x:v>
      </x:c>
      <x:c r="B30" s="48" t="str">
        <x:v>agreement_audit</x:v>
      </x:c>
      <x:c r="C30" s="48" t="str">
        <x:v>agreement_audit</x:v>
      </x:c>
      <x:c r="D30" s="48" t="str">
        <x:v>review-initial-0128</x:v>
      </x:c>
      <x:c r="E30" s="48" t="str">
        <x:v>draft-kir-pilot-0135</x:v>
      </x:c>
      <x:c r="F30" s="49" t="str">
        <x:v>屋里很安静，温度也正合适。</x:v>
      </x:c>
      <x:c r="G30" s="49" t="str"/>
      <x:c r="H30" s="49" t="str"/>
      <x:c r="I30" s="50" t="str">
        <x:v>no_intent</x:v>
      </x:c>
      <x:c r="J30" s="50" t="str"/>
      <x:c r="K30" s="50" t="str">
        <x:v>unspecified</x:v>
      </x:c>
      <x:c r="L30" s="50" t="str">
        <x:v>屋里很安静，温度也正合适。</x:v>
      </x:c>
      <x:c r="M30" s="50" t="str"/>
      <x:c r="N30" s="51" t="str">
        <x:v>no_intent</x:v>
      </x:c>
      <x:c r="O30" s="51" t="str"/>
      <x:c r="P30" s="51" t="str">
        <x:v>unspecified</x:v>
      </x:c>
      <x:c r="Q30" s="51" t="str">
        <x:v>屋里很安静，温度也正合适。</x:v>
      </x:c>
      <x:c r="R30" s="51" t="str"/>
      <x:c r="S30" s="48" t="str">
        <x:v>single_turn, quiet_control</x:v>
      </x:c>
      <x:c r="T30" s="48" t="str"/>
      <x:c r="U30" s="52" t="str">
        <x:v>confirm_agreement</x:v>
      </x:c>
      <x:c r="V30" s="52" t="str">
        <x:v>人工标签与草稿的 decision、in-scope target 和 horizon 一致; 用于抽样检查共同偏差。</x:v>
      </x:c>
      <x:c r="W30" s="53" t="str">
        <x:v>确认一致标签</x:v>
      </x:c>
      <x:c r="X30" s="53" t="str">
        <x:v>no_intent</x:v>
      </x:c>
      <x:c r="Y30" s="53" t="str"/>
      <x:c r="Z30" s="53" t="str">
        <x:v>unspecified</x:v>
      </x:c>
      <x:c r="AA30" s="53" t="str">
        <x:v>人工与草稿的受控标签一致，保留一致标签。</x:v>
      </x:c>
      <x:c r="AB30" s="53" t="str"/>
      <x:c r="AC30" s="51" t="str">
        <x:f>IF(W30="","待仲裁",IF(W30="重写或删除样本",IF(AA30="","缺 rationale","完成"),IF(X30="","缺 final_decision",IF(Z30="","缺 final_horizon",IF(AND(X30="in_scope",Y30=""),"缺 final_target",IF(AND(X30&lt;&gt;"in_scope",Y30&lt;&gt;""),"非 in_scope 请清空 target",IF(AA30="","缺 rationale",IF(AND(W30="修改分类规则",AB30=""),"缺 taxonomy 说明","完成"))))))))</x:f>
        <x:v>完成</x:v>
      </x:c>
      <x:c r="AD30" s="55" t="n">
        <x:f>IF(AC30="完成",1,0)</x:f>
        <x:v>1</x:v>
      </x:c>
      <x:c r="AE30" s="55" t="n">
        <x:f>IF(AC30="完成",0,1)</x:f>
        <x:v>0</x:v>
      </x:c>
    </x:row>
    <x:row r="31" ht="96" customHeight="1">
      <x:c r="A31" s="48" t="str">
        <x:v>adjudication-0030</x:v>
      </x:c>
      <x:c r="B31" s="48" t="str">
        <x:v>agreement_audit</x:v>
      </x:c>
      <x:c r="C31" s="48" t="str">
        <x:v>agreement_audit</x:v>
      </x:c>
      <x:c r="D31" s="48" t="str">
        <x:v>review-initial-0060</x:v>
      </x:c>
      <x:c r="E31" s="48" t="str">
        <x:v>draft-kir-pilot-0071</x:v>
      </x:c>
      <x:c r="F31" s="49" t="str">
        <x:v>正在考虑下一项活动。</x:v>
      </x:c>
      <x:c r="G31" s="49" t="str">
        <x:v>Kindred: 我原来想晚点再决定。
User: 以你此刻的决定为准。
Kindred: 现在去这个美术馆现场看新展。</x:v>
      </x:c>
      <x:c r="H31" s="49" t="str"/>
      <x:c r="I31" s="50" t="str">
        <x:v>in_scope</x:v>
      </x:c>
      <x:c r="J31" s="50" t="str">
        <x:v>visit_cultural_place</x:v>
      </x:c>
      <x:c r="K31" s="50" t="str">
        <x:v>now</x:v>
      </x:c>
      <x:c r="L31" s="50" t="str">
        <x:v>去这个美术馆现场看新展</x:v>
      </x:c>
      <x:c r="M31" s="50" t="str">
        <x:v>experience=欣赏艺术
object=展览</x:v>
      </x:c>
      <x:c r="N31" s="51" t="str">
        <x:v>in_scope</x:v>
      </x:c>
      <x:c r="O31" s="51" t="str">
        <x:v>visit_cultural_place</x:v>
      </x:c>
      <x:c r="P31" s="51" t="str">
        <x:v>now</x:v>
      </x:c>
      <x:c r="Q31" s="51" t="str">
        <x:v>现在去这个美术馆现场看新展。</x:v>
      </x:c>
      <x:c r="R31" s="51" t="str">
        <x:v>experience=前往线下文化场所体验
object=线下文化场所</x:v>
      </x:c>
      <x:c r="S31" s="48" t="str">
        <x:v>multi_turn, slot_required, multi_turn_reconsideration</x:v>
      </x:c>
      <x:c r="T31" s="48" t="str"/>
      <x:c r="U31" s="52" t="str">
        <x:v>confirm_agreement</x:v>
      </x:c>
      <x:c r="V31" s="52" t="str">
        <x:v>人工标签与草稿的 decision、in-scope target 和 horizon 一致; 用于抽样检查共同偏差。</x:v>
      </x:c>
      <x:c r="W31" s="53" t="str">
        <x:v>确认一致标签</x:v>
      </x:c>
      <x:c r="X31" s="53" t="str">
        <x:v>in_scope</x:v>
      </x:c>
      <x:c r="Y31" s="53" t="str">
        <x:v>visit_cultural_place</x:v>
      </x:c>
      <x:c r="Z31" s="53" t="str">
        <x:v>now</x:v>
      </x:c>
      <x:c r="AA31" s="53" t="str">
        <x:v>人工与草稿的受控标签一致，保留一致标签。</x:v>
      </x:c>
      <x:c r="AB31" s="53" t="str"/>
      <x:c r="AC31" s="51" t="str">
        <x:f>IF(W31="","待仲裁",IF(W31="重写或删除样本",IF(AA31="","缺 rationale","完成"),IF(X31="","缺 final_decision",IF(Z31="","缺 final_horizon",IF(AND(X31="in_scope",Y31=""),"缺 final_target",IF(AND(X31&lt;&gt;"in_scope",Y31&lt;&gt;""),"非 in_scope 请清空 target",IF(AA31="","缺 rationale",IF(AND(W31="修改分类规则",AB31=""),"缺 taxonomy 说明","完成"))))))))</x:f>
        <x:v>完成</x:v>
      </x:c>
      <x:c r="AD31" s="55" t="n">
        <x:f>IF(AC31="完成",1,0)</x:f>
        <x:v>1</x:v>
      </x:c>
      <x:c r="AE31" s="55" t="n">
        <x:f>IF(AC31="完成",0,1)</x:f>
        <x:v>0</x:v>
      </x:c>
    </x:row>
    <x:row r="32" ht="96" customHeight="1">
      <x:c r="A32" s="48" t="str">
        <x:v>adjudication-0031</x:v>
      </x:c>
      <x:c r="B32" s="48" t="str">
        <x:v>agreement_audit</x:v>
      </x:c>
      <x:c r="C32" s="48" t="str">
        <x:v>agreement_audit</x:v>
      </x:c>
      <x:c r="D32" s="48" t="str">
        <x:v>review-initial-0053</x:v>
      </x:c>
      <x:c r="E32" s="48" t="str">
        <x:v>draft-kir-pilot-0070</x:v>
      </x:c>
      <x:c r="F32" s="49" t="str">
        <x:v>接下来下楼步行绕一圈再回来。</x:v>
      </x:c>
      <x:c r="G32" s="49" t="str"/>
      <x:c r="H32" s="49" t="str"/>
      <x:c r="I32" s="50" t="str">
        <x:v>in_scope</x:v>
      </x:c>
      <x:c r="J32" s="50" t="str">
        <x:v>take_a_walk</x:v>
      </x:c>
      <x:c r="K32" s="50" t="str">
        <x:v>now</x:v>
      </x:c>
      <x:c r="L32" s="50" t="str">
        <x:v>下楼步行</x:v>
      </x:c>
      <x:c r="M32" s="50" t="str"/>
      <x:c r="N32" s="51" t="str">
        <x:v>in_scope</x:v>
      </x:c>
      <x:c r="O32" s="51" t="str">
        <x:v>take_a_walk</x:v>
      </x:c>
      <x:c r="P32" s="51" t="str">
        <x:v>now</x:v>
      </x:c>
      <x:c r="Q32" s="51" t="str">
        <x:v>接下来下楼步行绕一圈再回来。</x:v>
      </x:c>
      <x:c r="R32" s="51" t="str">
        <x:v>experience=以步行为主要目的外出
object=附近步行路线</x:v>
      </x:c>
      <x:c r="S32" s="48" t="str">
        <x:v>single_turn, slot_required</x:v>
      </x:c>
      <x:c r="T32" s="48" t="str"/>
      <x:c r="U32" s="52" t="str">
        <x:v>confirm_agreement</x:v>
      </x:c>
      <x:c r="V32" s="52" t="str">
        <x:v>人工标签与草稿的 decision、in-scope target 和 horizon 一致; 用于抽样检查共同偏差。</x:v>
      </x:c>
      <x:c r="W32" s="53" t="str">
        <x:v>确认一致标签</x:v>
      </x:c>
      <x:c r="X32" s="53" t="str">
        <x:v>in_scope</x:v>
      </x:c>
      <x:c r="Y32" s="53" t="str">
        <x:v>take_a_walk</x:v>
      </x:c>
      <x:c r="Z32" s="53" t="str">
        <x:v>now</x:v>
      </x:c>
      <x:c r="AA32" s="53" t="str">
        <x:v>人工与草稿的受控标签一致，保留一致标签。</x:v>
      </x:c>
      <x:c r="AB32" s="53" t="str"/>
      <x:c r="AC32" s="51" t="str">
        <x:f>IF(W32="","待仲裁",IF(W32="重写或删除样本",IF(AA32="","缺 rationale","完成"),IF(X32="","缺 final_decision",IF(Z32="","缺 final_horizon",IF(AND(X32="in_scope",Y32=""),"缺 final_target",IF(AND(X32&lt;&gt;"in_scope",Y32&lt;&gt;""),"非 in_scope 请清空 target",IF(AA32="","缺 rationale",IF(AND(W32="修改分类规则",AB32=""),"缺 taxonomy 说明","完成"))))))))</x:f>
        <x:v>完成</x:v>
      </x:c>
      <x:c r="AD32" s="55" t="n">
        <x:f>IF(AC32="完成",1,0)</x:f>
        <x:v>1</x:v>
      </x:c>
      <x:c r="AE32" s="55" t="n">
        <x:f>IF(AC32="完成",0,1)</x:f>
        <x:v>0</x:v>
      </x:c>
    </x:row>
    <x:row r="33" ht="96" customHeight="1">
      <x:c r="A33" s="48" t="str">
        <x:v>adjudication-0032</x:v>
      </x:c>
      <x:c r="B33" s="48" t="str">
        <x:v>agreement_audit</x:v>
      </x:c>
      <x:c r="C33" s="48" t="str">
        <x:v>agreement_audit</x:v>
      </x:c>
      <x:c r="D33" s="48" t="str">
        <x:v>review-initial-0117</x:v>
      </x:c>
      <x:c r="E33" s="48" t="str">
        <x:v>draft-kir-pilot-0060</x:v>
      </x:c>
      <x:c r="F33" s="49" t="str">
        <x:v>接下来什么也不做，平躺着歇十五分钟。</x:v>
      </x:c>
      <x:c r="G33" s="49" t="str"/>
      <x:c r="H33" s="49" t="str"/>
      <x:c r="I33" s="50" t="str">
        <x:v>in_scope</x:v>
      </x:c>
      <x:c r="J33" s="50" t="str">
        <x:v>rest</x:v>
      </x:c>
      <x:c r="K33" s="50" t="str">
        <x:v>now</x:v>
      </x:c>
      <x:c r="L33" s="50" t="str">
        <x:v>平躺着歇</x:v>
      </x:c>
      <x:c r="M33" s="50" t="str"/>
      <x:c r="N33" s="51" t="str">
        <x:v>in_scope</x:v>
      </x:c>
      <x:c r="O33" s="51" t="str">
        <x:v>rest</x:v>
      </x:c>
      <x:c r="P33" s="51" t="str">
        <x:v>now</x:v>
      </x:c>
      <x:c r="Q33" s="51" t="str">
        <x:v>接下来什么也不做，平躺着歇十五分钟。</x:v>
      </x:c>
      <x:c r="R33" s="51" t="str">
        <x:v>experience=暂停行动并安静休息
object=休息时段</x:v>
      </x:c>
      <x:c r="S33" s="48" t="str">
        <x:v>single_turn, slot_required</x:v>
      </x:c>
      <x:c r="T33" s="48" t="str"/>
      <x:c r="U33" s="52" t="str">
        <x:v>confirm_agreement</x:v>
      </x:c>
      <x:c r="V33" s="52" t="str">
        <x:v>人工标签与草稿的 decision、in-scope target 和 horizon 一致; 用于抽样检查共同偏差。</x:v>
      </x:c>
      <x:c r="W33" s="53" t="str">
        <x:v>确认一致标签</x:v>
      </x:c>
      <x:c r="X33" s="53" t="str">
        <x:v>in_scope</x:v>
      </x:c>
      <x:c r="Y33" s="53" t="str">
        <x:v>rest</x:v>
      </x:c>
      <x:c r="Z33" s="53" t="str">
        <x:v>now</x:v>
      </x:c>
      <x:c r="AA33" s="53" t="str">
        <x:v>人工与草稿的受控标签一致，保留一致标签。</x:v>
      </x:c>
      <x:c r="AB33" s="53" t="str"/>
      <x:c r="AC33" s="51" t="str">
        <x:f>IF(W33="","待仲裁",IF(W33="重写或删除样本",IF(AA33="","缺 rationale","完成"),IF(X33="","缺 final_decision",IF(Z33="","缺 final_horizon",IF(AND(X33="in_scope",Y33=""),"缺 final_target",IF(AND(X33&lt;&gt;"in_scope",Y33&lt;&gt;""),"非 in_scope 请清空 target",IF(AA33="","缺 rationale",IF(AND(W33="修改分类规则",AB33=""),"缺 taxonomy 说明","完成"))))))))</x:f>
        <x:v>完成</x:v>
      </x:c>
      <x:c r="AD33" s="55" t="n">
        <x:f>IF(AC33="完成",1,0)</x:f>
        <x:v>1</x:v>
      </x:c>
      <x:c r="AE33" s="55" t="n">
        <x:f>IF(AC33="完成",0,1)</x:f>
        <x:v>0</x:v>
      </x:c>
    </x:row>
  </x:sheetData>
  <x:conditionalFormatting sqref="AC2:AC33">
    <x:cfRule type="containsText" dxfId="0" priority="1" operator="containsText" text="完成"/>
    <x:cfRule type="notContainsText" dxfId="1" priority="2" text="完成"/>
  </x:conditionalFormatting>
  <x:conditionalFormatting sqref="U2:U33">
    <x:cfRule type="containsText" dxfId="2" priority="3" operator="containsText" text="product_policy_required"/>
  </x:conditionalFormatting>
  <x:dataValidations count="4">
    <x:dataValidation type="list" sqref="W2:W33">
      <x:formula1>'选项与元数据'!$A$2:$A$6</x:formula1>
    </x:dataValidation>
    <x:dataValidation type="list" sqref="X2:X33">
      <x:formula1>'选项与元数据'!$B$2:$B$5</x:formula1>
    </x:dataValidation>
    <x:dataValidation type="list" sqref="Y2:Y33">
      <x:formula1>'选项与元数据'!$C$2:$C$9</x:formula1>
    </x:dataValidation>
    <x:dataValidation type="list" sqref="Z2:Z33">
      <x:formula1>'选项与元数据'!$D$2:$D$4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7605bf11ff46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44" hidden="0" customWidth="1"/>
    <x:col min="4" max="4" width="44" hidden="0" customWidth="1"/>
    <x:col min="5" max="5" width="32" hidden="0" customWidth="1"/>
    <x:col min="6" max="6" width="22" hidden="0" customWidth="1"/>
  </x:cols>
  <x:sheetData>
    <x:row r="1">
      <x:c r="A1" s="64" t="str">
        <x:v>受控标签与 near-OOS 产品边界</x:v>
      </x:c>
      <x:c r="B1" s="64"/>
      <x:c r="C1" s="64"/>
      <x:c r="D1" s="64"/>
      <x:c r="E1" s="64"/>
      <x:c r="F1" s="64"/>
    </x:row>
    <x:row r="2">
      <x:c r="A2" s="29"/>
      <x:c r="B2" s="29"/>
      <x:c r="C2" s="29"/>
      <x:c r="D2" s="29"/>
      <x:c r="E2" s="29"/>
      <x:c r="F2" s="29"/>
    </x:row>
    <x:row r="3">
      <x:c r="A3" s="65" t="str">
        <x:v>输入</x:v>
      </x:c>
      <x:c r="B3" s="65" t="str">
        <x:v>有当前/下一行动倾向？</x:v>
      </x:c>
      <x:c r="C3" s="65" t="str">
        <x:v>行动唯一且具体？</x:v>
      </x:c>
      <x:c r="D3" s="65" t="str">
        <x:v>目录能完整承接？</x:v>
      </x:c>
      <x:c r="E3" s="65" t="str">
        <x:v>decision</x:v>
      </x:c>
      <x:c r="F3" s="29"/>
    </x:row>
    <x:row r="4">
      <x:c r="A4" s="66" t="str">
        <x:v>现在去散步</x:v>
      </x:c>
      <x:c r="B4" s="66" t="str">
        <x:v>是</x:v>
      </x:c>
      <x:c r="C4" s="66" t="str">
        <x:v>是</x:v>
      </x:c>
      <x:c r="D4" s="66" t="str">
        <x:v>是</x:v>
      </x:c>
      <x:c r="E4" s="66" t="str">
        <x:v>in_scope</x:v>
      </x:c>
      <x:c r="F4" s="29"/>
    </x:row>
    <x:row r="5">
      <x:c r="A5" s="66" t="str">
        <x:v>现在听音乐</x:v>
      </x:c>
      <x:c r="B5" s="66" t="str">
        <x:v>是</x:v>
      </x:c>
      <x:c r="C5" s="66" t="str">
        <x:v>是</x:v>
      </x:c>
      <x:c r="D5" s="66" t="str">
        <x:v>否</x:v>
      </x:c>
      <x:c r="E5" s="66" t="str">
        <x:v>oos</x:v>
      </x:c>
      <x:c r="F5" s="29"/>
    </x:row>
    <x:row r="6">
      <x:c r="A6" s="66" t="str">
        <x:v>现在没有安排</x:v>
      </x:c>
      <x:c r="B6" s="66" t="str">
        <x:v>否</x:v>
      </x:c>
      <x:c r="C6" s="66" t="str">
        <x:v>—</x:v>
      </x:c>
      <x:c r="D6" s="66" t="str">
        <x:v>—</x:v>
      </x:c>
      <x:c r="E6" s="66" t="str">
        <x:v>no_intent</x:v>
      </x:c>
      <x:c r="F6" s="29"/>
    </x:row>
    <x:row r="7">
      <x:c r="A7" s="66" t="str">
        <x:v>散步或咖啡都行</x:v>
      </x:c>
      <x:c r="B7" s="66" t="str">
        <x:v>是</x:v>
      </x:c>
      <x:c r="C7" s="66" t="str">
        <x:v>否</x:v>
      </x:c>
      <x:c r="D7" s="66" t="str">
        <x:v>—</x:v>
      </x:c>
      <x:c r="E7" s="66" t="str">
        <x:v>ambiguous</x:v>
      </x:c>
      <x:c r="F7" s="29"/>
    </x:row>
    <x:row r="8">
      <x:c r="A8" s="29"/>
      <x:c r="B8" s="29"/>
      <x:c r="C8" s="29"/>
      <x:c r="D8" s="29"/>
      <x:c r="E8" s="29"/>
      <x:c r="F8" s="29"/>
    </x:row>
    <x:row r="9">
      <x:c r="A9" s="65" t="str">
        <x:v>near-OOS 策略</x:v>
      </x:c>
      <x:c r="B9" s="65" t="str">
        <x:v>含义</x:v>
      </x:c>
      <x:c r="C9" s="65" t="str">
        <x:v>优点</x:v>
      </x:c>
      <x:c r="D9" s="65" t="str">
        <x:v>代价</x:v>
      </x:c>
      <x:c r="E9" s="65" t="str">
        <x:v>适用结果</x:v>
      </x:c>
      <x:c r="F9" s="65" t="str">
        <x:v>是否选择</x:v>
      </x:c>
    </x:row>
    <x:row r="10" ht="62" customHeight="1">
      <x:c r="A10" s="67" t="str">
        <x:v>严格目录</x:v>
      </x:c>
      <x:c r="B10" s="67" t="str">
        <x:v>目录外具体行为保持 oos，同时记录开放意图。</x:v>
      </x:c>
      <x:c r="C10" s="67" t="str">
        <x:v>不会把小众愿望错误挤进热门 activity。</x:v>
      </x:c>
      <x:c r="D10" s="67" t="str">
        <x:v>当前无法直接执行目录外行为。</x:v>
      </x:c>
      <x:c r="E10" s="67" t="str">
        <x:v>oos + open-intent log</x:v>
      </x:c>
      <x:c r="F10" s="67" t="str">
        <x:v>待决定</x:v>
      </x:c>
    </x:row>
    <x:row r="11" ht="62" customHeight="1">
      <x:c r="A11" s="67" t="str">
        <x:v>扩展 taxonomy</x:v>
      </x:c>
      <x:c r="B11" s="67" t="str">
        <x:v>高价值且可执行的小众行为新增 activity。</x:v>
      </x:c>
      <x:c r="C11" s="67" t="str">
        <x:v>Kindred 的自由选择能逐步进入产品能力。</x:v>
      </x:c>
      <x:c r="D11" s="67" t="str">
        <x:v>需要版本化、样本和回归评测。</x:v>
      </x:c>
      <x:c r="E11" s="67" t="str">
        <x:v>新增 intent 后 in_scope</x:v>
      </x:c>
      <x:c r="F11" s="67" t="str">
        <x:v>待决定</x:v>
      </x:c>
    </x:row>
    <x:row r="12" ht="62" customHeight="1">
      <x:c r="A12" s="67" t="str">
        <x:v>最近邻映射</x:v>
      </x:c>
      <x:c r="B12" s="67" t="str">
        <x:v>把目录外行为映射到最相邻现有 activity。</x:v>
      </x:c>
      <x:c r="C12" s="67" t="str">
        <x:v>无需扩目录即可路由。</x:v>
      </x:c>
      <x:c r="D12" s="67" t="str">
        <x:v>语义可能失真，污染 Gold 与线上体验。</x:v>
      </x:c>
      <x:c r="E12" s="67" t="str">
        <x:v>映射为 sibling intent</x:v>
      </x:c>
      <x:c r="F12" s="67" t="str">
        <x:v>待决定</x:v>
      </x:c>
    </x:row>
    <x:row r="13">
      <x:c r="A13" s="29"/>
      <x:c r="B13" s="29"/>
      <x:c r="C13" s="29"/>
      <x:c r="D13" s="29"/>
      <x:c r="E13" s="29"/>
      <x:c r="F13" s="29"/>
    </x:row>
    <x:row r="14">
      <x:c r="A14" s="68" t="str">
        <x:v>冻结 Activity Taxonomy</x:v>
      </x:c>
      <x:c r="B14" s="68"/>
      <x:c r="C14" s="68"/>
      <x:c r="D14" s="68"/>
      <x:c r="E14" s="68"/>
      <x:c r="F14" s="68"/>
    </x:row>
    <x:row r="15">
      <x:c r="A15" s="65" t="str">
        <x:v>intent</x:v>
      </x:c>
      <x:c r="B15" s="65" t="str">
        <x:v>定义</x:v>
      </x:c>
      <x:c r="C15" s="65" t="str">
        <x:v>纳入条件</x:v>
      </x:c>
      <x:c r="D15" s="65" t="str">
        <x:v>排除条件</x:v>
      </x:c>
      <x:c r="E15" s="65" t="str">
        <x:v>相邻 intents</x:v>
      </x:c>
      <x:c r="F15" s="29"/>
    </x:row>
    <x:row r="16" ht="76" customHeight="1">
      <x:c r="A16" s="67" t="str">
        <x:v>create_picture</x:v>
      </x:c>
      <x:c r="B16" s="67" t="str">
        <x:v>创作、绘制或生成一幅新的视觉作品。</x:v>
      </x:c>
      <x:c r="C16" s="67" t="str">
        <x:v>• 明确想画画、做插画或生成新图片
• 下一主要行动是视觉创作而非浏览已有内容</x:v>
      </x:c>
      <x:c r="D16" s="67" t="str">
        <x:v>• 仅浏览别人发布的图片或帖子
• 参观展览或欣赏线下艺术作品</x:v>
      </x:c>
      <x:c r="E16" s="67" t="str">
        <x:v>play_xiaohongshu, visit_cultural_place</x:v>
      </x:c>
      <x:c r="F16" s="29"/>
    </x:row>
    <x:row r="17" ht="76" customHeight="1">
      <x:c r="A17" s="67" t="str">
        <x:v>dine_out</x:v>
      </x:c>
      <x:c r="B17" s="67" t="str">
        <x:v>离开当前住处，到餐馆、咖啡馆或其他餐饮场所用餐。</x:v>
      </x:c>
      <x:c r="C17" s="67" t="str">
        <x:v>• 明确想去外面的餐饮场所吃喝
• 外出用餐是下一主要行动</x:v>
      </x:c>
      <x:c r="D17" s="67" t="str">
        <x:v>• 在家准备、订购或享用食物
• 仅散步且没有用餐目标</x:v>
      </x:c>
      <x:c r="E17" s="67" t="str">
        <x:v>eat_at_home, take_a_walk</x:v>
      </x:c>
      <x:c r="F17" s="29"/>
    </x:row>
    <x:row r="18" ht="76" customHeight="1">
      <x:c r="A18" s="67" t="str">
        <x:v>eat_at_home</x:v>
      </x:c>
      <x:c r="B18" s="67" t="str">
        <x:v>在当前住处准备、订购或享用一顿食物。</x:v>
      </x:c>
      <x:c r="C18" s="67" t="str">
        <x:v>• 明确想在家吃东西或准备食物
• 点外卖但在家用餐</x:v>
      </x:c>
      <x:c r="D18" s="67" t="str">
        <x:v>• 去餐馆、咖啡馆等场所用餐
• 仅表达饥饿却没有当前行动倾向</x:v>
      </x:c>
      <x:c r="E18" s="67" t="str">
        <x:v>dine_out, rest</x:v>
      </x:c>
      <x:c r="F18" s="29"/>
    </x:row>
    <x:row r="19" ht="76" customHeight="1">
      <x:c r="A19" s="67" t="str">
        <x:v>play_xiaohongshu</x:v>
      </x:c>
      <x:c r="B19" s="67" t="str">
        <x:v>浏览小红书或类似的公开生活方式帖子，以观看他人分享为主要目的。</x:v>
      </x:c>
      <x:c r="C19" s="67" t="str">
        <x:v>• 明确想刷小红书
• 未说品牌名但想随手浏览他人公开分享的生活内容</x:v>
      </x:c>
      <x:c r="D19" s="67" t="str">
        <x:v>• 创作或发布一张新图片
• 主动联系用户或特定的人</x:v>
      </x:c>
      <x:c r="E19" s="67" t="str">
        <x:v>create_picture, reach_out_to_user, rest</x:v>
      </x:c>
      <x:c r="F19" s="29"/>
    </x:row>
    <x:row r="20" ht="76" customHeight="1">
      <x:c r="A20" s="67" t="str">
        <x:v>reach_out_to_user</x:v>
      </x:c>
      <x:c r="B20" s="67" t="str">
        <x:v>主动向用户发起一条消息、问候或联系。</x:v>
      </x:c>
      <x:c r="C20" s="67" t="str">
        <x:v>• 明确想给用户发消息或问候
• 联系用户是下一主要行动</x:v>
      </x:c>
      <x:c r="D20" s="67" t="str">
        <x:v>• 只是在心里想念但决定不打扰
• 浏览无关的公开社交内容</x:v>
      </x:c>
      <x:c r="E20" s="67" t="str">
        <x:v>play_xiaohongshu, rest</x:v>
      </x:c>
      <x:c r="F20" s="29"/>
    </x:row>
    <x:row r="21" ht="76" customHeight="1">
      <x:c r="A21" s="67" t="str">
        <x:v>rest</x:v>
      </x:c>
      <x:c r="B21" s="67" t="str">
        <x:v>暂停其他主要行动，安静休息、放松或睡一会儿。</x:v>
      </x:c>
      <x:c r="C21" s="67" t="str">
        <x:v>• 明确想休息、睡觉或安静放松
• 保持低行动状态是主动选择</x:v>
      </x:c>
      <x:c r="D21" s="67" t="str">
        <x:v>• 只是疲惫的状态事实而没有休息意图
• 在家吃东西或浏览公开内容</x:v>
      </x:c>
      <x:c r="E21" s="67" t="str">
        <x:v>eat_at_home, play_xiaohongshu, reach_out_to_user</x:v>
      </x:c>
      <x:c r="F21" s="29"/>
    </x:row>
    <x:row r="22" ht="76" customHeight="1">
      <x:c r="A22" s="67" t="str">
        <x:v>take_a_walk</x:v>
      </x:c>
      <x:c r="B22" s="67" t="str">
        <x:v>以步行、透气或随意转转为主要目的外出活动。</x:v>
      </x:c>
      <x:c r="C22" s="67" t="str">
        <x:v>• 明确想散步、走一圈或出门透气
• 没有更主要的用餐或参观目的</x:v>
      </x:c>
      <x:c r="D22" s="67" t="str">
        <x:v>• 目的地是餐馆并以吃饭为主
• 目的地是博物馆、美术馆等文化场所</x:v>
      </x:c>
      <x:c r="E22" s="67" t="str">
        <x:v>dine_out, visit_cultural_place</x:v>
      </x:c>
      <x:c r="F22" s="29"/>
    </x:row>
    <x:row r="23" ht="76" customHeight="1">
      <x:c r="A23" s="67" t="str">
        <x:v>visit_cultural_place</x:v>
      </x:c>
      <x:c r="B23" s="67" t="str">
        <x:v>前往博物馆、美术馆、展览、书店等文化场所参观或体验。</x:v>
      </x:c>
      <x:c r="C23" s="67" t="str">
        <x:v>• 明确想参观文化场所或特定展览
• 文化体验是下一主要行动</x:v>
      </x:c>
      <x:c r="D23" s="67" t="str">
        <x:v>• 只想无目的散步
• 在家创作新的图片</x:v>
      </x:c>
      <x:c r="E23" s="67" t="str">
        <x:v>create_picture, take_a_walk</x:v>
      </x:c>
      <x:c r="F23" s="29"/>
    </x:row>
  </x:sheetData>
  <x:mergeCells>
    <x:mergeCell ref="A1:F1"/>
    <x:mergeCell ref="A14:F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8" hidden="0" customWidth="1"/>
    <x:col min="4" max="4" width="18" hidden="0" customWidth="1"/>
    <x:col min="5" max="5" width="4" hidden="0" customWidth="1"/>
    <x:col min="6" max="6" width="36" hidden="0" customWidth="1"/>
    <x:col min="7" max="7" width="76" hidden="0" customWidth="1"/>
  </x:cols>
  <x:sheetData>
    <x:row r="1">
      <x:c r="A1" s="65" t="str">
        <x:v>adjudication_action</x:v>
      </x:c>
      <x:c r="B1" s="65" t="str">
        <x:v>decision</x:v>
      </x:c>
      <x:c r="C1" s="65" t="str">
        <x:v>target_intent</x:v>
      </x:c>
      <x:c r="D1" s="65" t="str">
        <x:v>horizon</x:v>
      </x:c>
      <x:c r="E1" s="29"/>
      <x:c r="F1" s="75" t="str">
        <x:v>数据与选择合同（请勿修改）</x:v>
      </x:c>
      <x:c r="G1" s="75"/>
    </x:row>
    <x:row r="2">
      <x:c r="A2" s="76" t="str">
        <x:v>确认一致标签</x:v>
      </x:c>
      <x:c r="B2" s="76" t="str">
        <x:v>in_scope</x:v>
      </x:c>
      <x:c r="C2" s="76" t="str">
        <x:v>create_picture</x:v>
      </x:c>
      <x:c r="D2" s="76" t="str">
        <x:v>now</x:v>
      </x:c>
      <x:c r="E2" s="29"/>
      <x:c r="F2" s="77" t="str">
        <x:v>workbook_schema_version</x:v>
      </x:c>
      <x:c r="G2" s="78" t="n">
        <x:v>1</x:v>
      </x:c>
    </x:row>
    <x:row r="3">
      <x:c r="A3" s="76" t="str">
        <x:v>接受人工标签</x:v>
      </x:c>
      <x:c r="B3" s="76" t="str">
        <x:v>oos</x:v>
      </x:c>
      <x:c r="C3" s="76" t="str">
        <x:v>dine_out</x:v>
      </x:c>
      <x:c r="D3" s="76" t="str">
        <x:v>later</x:v>
      </x:c>
      <x:c r="E3" s="29"/>
      <x:c r="F3" s="77" t="str">
        <x:v>dataset_id</x:v>
      </x:c>
      <x:c r="G3" s="78" t="str">
        <x:v>kir-pilot-v1</x:v>
      </x:c>
    </x:row>
    <x:row r="4">
      <x:c r="A4" s="76" t="str">
        <x:v>保留草稿标签</x:v>
      </x:c>
      <x:c r="B4" s="76" t="str">
        <x:v>no_intent</x:v>
      </x:c>
      <x:c r="C4" s="76" t="str">
        <x:v>eat_at_home</x:v>
      </x:c>
      <x:c r="D4" s="76" t="str">
        <x:v>unspecified</x:v>
      </x:c>
      <x:c r="E4" s="29"/>
      <x:c r="F4" s="77" t="str">
        <x:v>review_pass</x:v>
      </x:c>
      <x:c r="G4" s="78" t="str">
        <x:v>initial</x:v>
      </x:c>
    </x:row>
    <x:row r="5">
      <x:c r="A5" s="76" t="str">
        <x:v>修改分类规则</x:v>
      </x:c>
      <x:c r="B5" s="76" t="str">
        <x:v>ambiguous</x:v>
      </x:c>
      <x:c r="C5" s="76" t="str">
        <x:v>play_xiaohongshu</x:v>
      </x:c>
      <x:c r="D5" s="76"/>
      <x:c r="E5" s="29"/>
      <x:c r="F5" s="77" t="str">
        <x:v>selection_method</x:v>
      </x:c>
      <x:c r="G5" s="78" t="str">
        <x:v>hierarchical-disagreements-plus-stratified-agreements-v1</x:v>
      </x:c>
    </x:row>
    <x:row r="6">
      <x:c r="A6" s="76" t="str">
        <x:v>重写或删除样本</x:v>
      </x:c>
      <x:c r="B6" s="76"/>
      <x:c r="C6" s="76" t="str">
        <x:v>reach_out_to_user</x:v>
      </x:c>
      <x:c r="D6" s="76"/>
      <x:c r="E6" s="29"/>
      <x:c r="F6" s="77" t="str">
        <x:v>candidate_artifact_sha256</x:v>
      </x:c>
      <x:c r="G6" s="78" t="str">
        <x:v>5d1c3e85d332a7e067b2a21170d0624f4df57e6cae467b30bbd3f9dd4ad5cc47</x:v>
      </x:c>
    </x:row>
    <x:row r="7">
      <x:c r="A7" s="76"/>
      <x:c r="B7" s="76"/>
      <x:c r="C7" s="76" t="str">
        <x:v>rest</x:v>
      </x:c>
      <x:c r="D7" s="76"/>
      <x:c r="E7" s="29"/>
      <x:c r="F7" s="77" t="str">
        <x:v>taxonomy_artifact_sha256</x:v>
      </x:c>
      <x:c r="G7" s="78" t="str">
        <x:v>a5c0958e7c106c7b6e67fdc8fd3dbf320d464ff209b3bd4f3964d87572676407</x:v>
      </x:c>
    </x:row>
    <x:row r="8">
      <x:c r="A8" s="76"/>
      <x:c r="B8" s="76"/>
      <x:c r="C8" s="76" t="str">
        <x:v>take_a_walk</x:v>
      </x:c>
      <x:c r="D8" s="76"/>
      <x:c r="E8" s="29"/>
      <x:c r="F8" s="77" t="str">
        <x:v>response_artifact_sha256</x:v>
      </x:c>
      <x:c r="G8" s="78" t="str">
        <x:v>084448de85b9e44ee6b22145a3670b3a41570b21761f06ed10f310063fbab4ce</x:v>
      </x:c>
    </x:row>
    <x:row r="9">
      <x:c r="A9" s="76"/>
      <x:c r="B9" s="76"/>
      <x:c r="C9" s="76" t="str">
        <x:v>visit_cultural_place</x:v>
      </x:c>
      <x:c r="D9" s="76"/>
      <x:c r="E9" s="29"/>
      <x:c r="F9" s="77" t="str">
        <x:v>hierarchical_disagreement_count</x:v>
      </x:c>
      <x:c r="G9" s="78" t="n">
        <x:v>17</x:v>
      </x:c>
    </x:row>
    <x:row r="10">
      <x:c r="A10" s="29"/>
      <x:c r="B10" s="29"/>
      <x:c r="C10" s="29"/>
      <x:c r="D10" s="29"/>
      <x:c r="E10" s="29"/>
      <x:c r="F10" s="77" t="str">
        <x:v>agreement_audit_count</x:v>
      </x:c>
      <x:c r="G10" s="78" t="n">
        <x:v>15</x:v>
      </x:c>
    </x:row>
    <x:row r="11">
      <x:c r="A11" s="29"/>
      <x:c r="B11" s="29"/>
      <x:c r="C11" s="29"/>
      <x:c r="D11" s="29"/>
      <x:c r="E11" s="29"/>
      <x:c r="F11" s="77" t="str">
        <x:v>item_count</x:v>
      </x:c>
      <x:c r="G11" s="78" t="n">
        <x:v>32</x:v>
      </x:c>
    </x:row>
    <x:row r="12">
      <x:c r="A12" s="29"/>
      <x:c r="B12" s="29"/>
      <x:c r="C12" s="29"/>
      <x:c r="D12" s="29"/>
      <x:c r="E12" s="29"/>
      <x:c r="F12" s="77" t="str">
        <x:v>status</x:v>
      </x:c>
      <x:c r="G12" s="78" t="str">
        <x:v>pending_adjudication</x:v>
      </x:c>
    </x:row>
  </x:sheetData>
  <x:mergeCells>
    <x:mergeCell ref="F1:G1"/>
  </x:mergeCells>
  <x:pageMargins left="0.7" right="0.7" top="0.75" bottom="0.75" header="0.3" footer="0.3"/>
</x:worksheet>
</file>