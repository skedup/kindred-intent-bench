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1"/>
  <workbookPr/>
  <mc:AlternateContent xmlns:mc="http://schemas.openxmlformats.org/markup-compatibility/2006">
    <mc:Choice Requires="x15">
      <x15ac:absPath xmlns:x15ac="http://schemas.microsoft.com/office/spreadsheetml/2010/11/ac" url="/Users/skedushwang/projects/kindred-intent-bench/outputs/2026-08-22-ie12-grounded-delta-review/"/>
    </mc:Choice>
  </mc:AlternateContent>
  <xr:revisionPtr revIDLastSave="0" documentId="13_ncr:1_{A1B11FB3-029F-B942-8577-A74E4A204073}" xr6:coauthVersionLast="47" xr6:coauthVersionMax="47" xr10:uidLastSave="{00000000-0000-0000-0000-000000000000}"/>
  <bookViews>
    <workbookView xWindow="0" yWindow="760" windowWidth="34560" windowHeight="21580" activeTab="1" xr2:uid="{00000000-000D-0000-FFFF-FFFF00000000}"/>
  </bookViews>
  <sheets>
    <sheet name="使用说明" sheetId="1" r:id="rId1"/>
    <sheet name="盲审" sheetId="2" r:id="rId2"/>
    <sheet name="意图目录" sheetId="3" r:id="rId3"/>
    <sheet name="选项与回传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161" i="2" l="1"/>
  <c r="M160" i="2"/>
  <c r="M159" i="2"/>
  <c r="M158" i="2"/>
  <c r="M157" i="2"/>
  <c r="M156" i="2"/>
  <c r="M155" i="2"/>
  <c r="M154" i="2"/>
  <c r="M153" i="2"/>
  <c r="M152" i="2"/>
  <c r="M151" i="2"/>
  <c r="M150" i="2"/>
  <c r="M149" i="2"/>
  <c r="M148" i="2"/>
  <c r="M147" i="2"/>
  <c r="M146" i="2"/>
  <c r="M145" i="2"/>
  <c r="M144" i="2"/>
  <c r="M143" i="2"/>
  <c r="M142" i="2"/>
  <c r="M141" i="2"/>
  <c r="M140" i="2"/>
  <c r="M139" i="2"/>
  <c r="M138" i="2"/>
  <c r="M137" i="2"/>
  <c r="M136" i="2"/>
  <c r="M135" i="2"/>
  <c r="M134" i="2"/>
  <c r="M133" i="2"/>
  <c r="M132" i="2"/>
  <c r="M131" i="2"/>
  <c r="M130" i="2"/>
  <c r="M129" i="2"/>
  <c r="M128" i="2"/>
  <c r="M127" i="2"/>
  <c r="M126" i="2"/>
  <c r="M125" i="2"/>
  <c r="M124" i="2"/>
  <c r="M123" i="2"/>
  <c r="M122" i="2"/>
  <c r="M121" i="2"/>
  <c r="M120" i="2"/>
  <c r="M119" i="2"/>
  <c r="M118" i="2"/>
  <c r="M117" i="2"/>
  <c r="M116" i="2"/>
  <c r="M115" i="2"/>
  <c r="M114" i="2"/>
  <c r="M113" i="2"/>
  <c r="M112" i="2"/>
  <c r="M111" i="2"/>
  <c r="M110" i="2"/>
  <c r="M109" i="2"/>
  <c r="M108" i="2"/>
  <c r="M107" i="2"/>
  <c r="M106" i="2"/>
  <c r="M105" i="2"/>
  <c r="M104" i="2"/>
  <c r="M103" i="2"/>
  <c r="M102" i="2"/>
  <c r="M101" i="2"/>
  <c r="M100" i="2"/>
  <c r="M99" i="2"/>
  <c r="M98" i="2"/>
  <c r="M97" i="2"/>
  <c r="M96" i="2"/>
  <c r="M95" i="2"/>
  <c r="M94" i="2"/>
  <c r="M93" i="2"/>
  <c r="M92" i="2"/>
  <c r="M91" i="2"/>
  <c r="M90" i="2"/>
  <c r="M89" i="2"/>
  <c r="M88" i="2"/>
  <c r="M87" i="2"/>
  <c r="M86" i="2"/>
  <c r="M85" i="2"/>
  <c r="M84" i="2"/>
  <c r="M83" i="2"/>
  <c r="M82" i="2"/>
  <c r="M81" i="2"/>
  <c r="M80" i="2"/>
  <c r="M79" i="2"/>
  <c r="M78" i="2"/>
  <c r="M77" i="2"/>
  <c r="M76" i="2"/>
  <c r="M75" i="2"/>
  <c r="M74" i="2"/>
  <c r="M73" i="2"/>
  <c r="M72" i="2"/>
  <c r="M71" i="2"/>
  <c r="M70" i="2"/>
  <c r="M69" i="2"/>
  <c r="M68" i="2"/>
  <c r="M67" i="2"/>
  <c r="M66" i="2"/>
  <c r="M65" i="2"/>
  <c r="M64" i="2"/>
  <c r="M63" i="2"/>
  <c r="M62" i="2"/>
  <c r="M61" i="2"/>
  <c r="M60" i="2"/>
  <c r="M59" i="2"/>
  <c r="M58" i="2"/>
  <c r="M57" i="2"/>
  <c r="M56" i="2"/>
  <c r="M55" i="2"/>
  <c r="M54" i="2"/>
  <c r="M53" i="2"/>
  <c r="M52" i="2"/>
  <c r="M51" i="2"/>
  <c r="M50" i="2"/>
  <c r="M49" i="2"/>
  <c r="M48" i="2"/>
  <c r="M47" i="2"/>
  <c r="M46" i="2"/>
  <c r="M45" i="2"/>
  <c r="M44" i="2"/>
  <c r="M43" i="2"/>
  <c r="M42" i="2"/>
  <c r="M41" i="2"/>
  <c r="M40" i="2"/>
  <c r="M39" i="2"/>
  <c r="M38" i="2"/>
  <c r="M37" i="2"/>
  <c r="M36" i="2"/>
  <c r="M35" i="2"/>
  <c r="M34" i="2"/>
  <c r="M33" i="2"/>
  <c r="M32" i="2"/>
  <c r="M31" i="2"/>
  <c r="M30" i="2"/>
  <c r="M29" i="2"/>
  <c r="M28" i="2"/>
  <c r="M27" i="2"/>
  <c r="M26" i="2"/>
  <c r="M25" i="2"/>
  <c r="M24" i="2"/>
  <c r="M23" i="2"/>
  <c r="M22" i="2"/>
  <c r="M21" i="2"/>
  <c r="M20" i="2"/>
  <c r="M19" i="2"/>
  <c r="M18" i="2"/>
  <c r="M17" i="2"/>
  <c r="M16" i="2"/>
  <c r="M15" i="2"/>
  <c r="M14" i="2"/>
  <c r="M13" i="2"/>
  <c r="M12" i="2"/>
  <c r="M11" i="2"/>
  <c r="M10" i="2"/>
  <c r="M9" i="2"/>
  <c r="M8" i="2"/>
  <c r="M7" i="2"/>
  <c r="M6" i="2"/>
  <c r="B4" i="1" s="1"/>
  <c r="B5" i="1" s="1"/>
  <c r="M5" i="2"/>
  <c r="M4" i="2"/>
  <c r="M3" i="2"/>
  <c r="M2" i="2"/>
</calcChain>
</file>

<file path=xl/sharedStrings.xml><?xml version="1.0" encoding="utf-8"?>
<sst xmlns="http://schemas.openxmlformats.org/spreadsheetml/2006/main" count="1214" uniqueCount="684">
  <si>
    <t>Kindred 意图识别 · Grounding 校准补审</t>
  </si>
  <si>
    <t>Reviewer ID</t>
  </si>
  <si>
    <t>skedushwang-initial</t>
  </si>
  <si>
    <t>已完成</t>
  </si>
  <si>
    <t>待处理</t>
  </si>
  <si>
    <t>总样本</t>
  </si>
  <si>
    <t>填写顺序</t>
  </si>
  <si>
    <t>1</t>
  </si>
  <si>
    <t>158 条原人工标签已按 context 完全一致规则迁移；只需筛选并填写 2 条“待填写”。</t>
  </si>
  <si>
    <t>2</t>
  </si>
  <si>
    <t>decision 使用下拉：1=in_scope，2=oos，3=no_intent，4=ambiguous。</t>
  </si>
  <si>
    <t>3</t>
  </si>
  <si>
    <t>只有 decision=1 时填写 target_intent；其他 decision 必须留空。</t>
  </si>
  <si>
    <t>4</t>
  </si>
  <si>
    <t>evidence_quote 必须逐字摘自 state_summary 或某一轮 conversation。</t>
  </si>
  <si>
    <t>5</t>
  </si>
  <si>
    <t>desired_experience、object、review_note 都可留空；不要猜测输入未表达的内容。</t>
  </si>
  <si>
    <t>6</t>
  </si>
  <si>
    <t>horizon：now=当前/下一步，later=明确未来，unspecified=无法判断时间。</t>
  </si>
  <si>
    <t>四类 decision 的判断</t>
  </si>
  <si>
    <t>输入</t>
  </si>
  <si>
    <t>有当前/下一行动倾向？</t>
  </si>
  <si>
    <t>行动唯一且具体？</t>
  </si>
  <si>
    <t>目录能完整承接？</t>
  </si>
  <si>
    <t>decision</t>
  </si>
  <si>
    <t>例：现在去散步</t>
  </si>
  <si>
    <t>是</t>
  </si>
  <si>
    <t>1 - in_scope</t>
  </si>
  <si>
    <t>例：现在听音乐</t>
  </si>
  <si>
    <t>否</t>
  </si>
  <si>
    <t>2 - oos</t>
  </si>
  <si>
    <t>例：现在没有安排</t>
  </si>
  <si>
    <t>—</t>
  </si>
  <si>
    <t>3 - no_intent</t>
  </si>
  <si>
    <t>例：散步或咖啡都行</t>
  </si>
  <si>
    <t>4 - ambiguous</t>
  </si>
  <si>
    <t>交回方式</t>
  </si>
  <si>
    <t>填写 2 条待处理样本后直接把这个 .xlsx 文件发回。不要改已迁移行、工作表名称、review_item_id、上下文字段或回传元数据。</t>
  </si>
  <si>
    <t>提示</t>
  </si>
  <si>
    <t>可随时保存和退出；“盲审”页按 status 筛选即可找到未完成或错误行。</t>
  </si>
  <si>
    <t>batch</t>
  </si>
  <si>
    <t>review_item_id</t>
  </si>
  <si>
    <t>state_summary</t>
  </si>
  <si>
    <t>conversation</t>
  </si>
  <si>
    <t>recent_activities</t>
  </si>
  <si>
    <t>target_intent</t>
  </si>
  <si>
    <t>evidence_quote</t>
  </si>
  <si>
    <t>desired_experience</t>
  </si>
  <si>
    <t>object</t>
  </si>
  <si>
    <t>horizon</t>
  </si>
  <si>
    <t>review_note</t>
  </si>
  <si>
    <t>status（自动）</t>
  </si>
  <si>
    <t>review-initial-0001</t>
  </si>
  <si>
    <t>现在临近晚饭时间。接下来闭上眼安静放松十分钟。</t>
  </si>
  <si>
    <t>rest</t>
  </si>
  <si>
    <t>闭上眼安静放松</t>
  </si>
  <si>
    <t>放松</t>
  </si>
  <si>
    <t>now</t>
  </si>
  <si>
    <t>review-initial-0002</t>
  </si>
  <si>
    <t>先到楼下慢慢走一小圈。</t>
  </si>
  <si>
    <t>take_a_walk</t>
  </si>
  <si>
    <t>到楼下慢慢走</t>
  </si>
  <si>
    <t>楼下</t>
  </si>
  <si>
    <t>review-initial-0003</t>
  </si>
  <si>
    <t>想先休息或点外卖，两个都可以，没有决定。</t>
  </si>
  <si>
    <t>休息或点外卖，两个都可以</t>
  </si>
  <si>
    <t>review-initial-0004</t>
  </si>
  <si>
    <t>正在考虑下一项活动。</t>
  </si>
  <si>
    <t>User: 你前面说了几个可能，现在有唯一选择吗？
Kindred: 去咖啡馆参加读书会，不打算点任何吃喝。</t>
  </si>
  <si>
    <t>去咖啡馆参加读书会</t>
  </si>
  <si>
    <t>读书会</t>
  </si>
  <si>
    <t>目前没有标签intent能精确匹配这个意图</t>
  </si>
  <si>
    <t>review-initial-0005</t>
  </si>
  <si>
    <t>接下来沿河慢慢走一段。</t>
  </si>
  <si>
    <t>沿河慢慢走</t>
  </si>
  <si>
    <t>河</t>
  </si>
  <si>
    <t>review-initial-0006</t>
  </si>
  <si>
    <t>User: 你前面说了几个可能，现在有唯一选择吗？
Kindred: 现在给你发一句问候。</t>
  </si>
  <si>
    <t>reach_out_to_user</t>
  </si>
  <si>
    <t>给你发一句问候</t>
  </si>
  <si>
    <t>用户</t>
  </si>
  <si>
    <t>review-initial-0007</t>
  </si>
  <si>
    <t>Kindred: 我刚才还考虑过先休息。
User: 那只是之前的候选，你现在怎么决定？
Kindred: 现在什么也不做，安静休息一会儿。</t>
  </si>
  <si>
    <t>安静休息</t>
  </si>
  <si>
    <t>review-initial-0008</t>
  </si>
  <si>
    <t>先去街角咖啡馆喝杯拿铁。</t>
  </si>
  <si>
    <t>dine_out</t>
  </si>
  <si>
    <t>去街角咖啡馆喝</t>
  </si>
  <si>
    <t>拿铁</t>
  </si>
  <si>
    <t>review-initial-0009</t>
  </si>
  <si>
    <t>先去自然博物馆参观恐龙展厅。</t>
  </si>
  <si>
    <t>visit_cultural_place</t>
  </si>
  <si>
    <t>去自然博物馆参观</t>
  </si>
  <si>
    <t>参观展览</t>
  </si>
  <si>
    <t>展厅</t>
  </si>
  <si>
    <t>review-initial-0010</t>
  </si>
  <si>
    <t>review-initial-0011</t>
  </si>
  <si>
    <t>现在可以去散步，也可以骑车，暂时不选。</t>
  </si>
  <si>
    <t>暂时不选</t>
  </si>
  <si>
    <t>review-initial-0012</t>
  </si>
  <si>
    <t>接下来留在屋里做碗简单的汤面吃。</t>
  </si>
  <si>
    <t>eat_at_home</t>
  </si>
  <si>
    <t>留在屋里做碗</t>
  </si>
  <si>
    <t>汤面</t>
  </si>
  <si>
    <t>review-initial-0013</t>
  </si>
  <si>
    <t>接下来在纸质本上写一篇今天的日记。</t>
  </si>
  <si>
    <t>写一篇今天的日记</t>
  </si>
  <si>
    <t>纸质本</t>
  </si>
  <si>
    <t>review-initial-0014</t>
  </si>
  <si>
    <t>刚完成了一次散步。刚吃完饭有些困，但接下来不准备休息。</t>
  </si>
  <si>
    <t>不准备休息</t>
  </si>
  <si>
    <t>review-initial-0015</t>
  </si>
  <si>
    <t>先给你发消息说一声晚上好。</t>
  </si>
  <si>
    <t>给你发消息</t>
  </si>
  <si>
    <t>review-initial-0016</t>
  </si>
  <si>
    <t>接下来看看别人公开分享的旅行照片。</t>
  </si>
  <si>
    <t>play_xiaohongshu</t>
  </si>
  <si>
    <t>看别人公开分享的旅行照片</t>
  </si>
  <si>
    <t>别人分享的照片</t>
  </si>
  <si>
    <t>review-initial-0017</t>
  </si>
  <si>
    <t>想播放一段白噪声认真听一会儿。</t>
  </si>
  <si>
    <t>想播放一段白噪声</t>
  </si>
  <si>
    <t>听东西</t>
  </si>
  <si>
    <t>白噪音</t>
  </si>
  <si>
    <t>review-initial-0018</t>
  </si>
  <si>
    <t>给同一位博主私信询问穿搭链接。</t>
  </si>
  <si>
    <t>给同一位博主私信</t>
  </si>
  <si>
    <t>私信询问</t>
  </si>
  <si>
    <t>review-initial-0019</t>
  </si>
  <si>
    <t>刚吃完饭有些困，但接下来不准备休息。</t>
  </si>
  <si>
    <t>review-initial-0020</t>
  </si>
  <si>
    <t>肚子有点饿，不过暂时不准备吃东西。</t>
  </si>
  <si>
    <t>不准备吃东西</t>
  </si>
  <si>
    <t>review-initial-0021</t>
  </si>
  <si>
    <t>哪天可能学一首吉他曲，但不是现在。</t>
  </si>
  <si>
    <t>学一首吉他曲</t>
  </si>
  <si>
    <t>吉他曲</t>
  </si>
  <si>
    <t>later</t>
  </si>
  <si>
    <t>review-initial-0022</t>
  </si>
  <si>
    <t>接下来下楼步行绕一圈再回来。</t>
  </si>
  <si>
    <t>下楼步行</t>
  </si>
  <si>
    <t>review-initial-0023</t>
  </si>
  <si>
    <t>User: 你前面说了几个可能，现在有唯一选择吗？
Kindred: 虽然有点累，但现在没打算休息，也没有别的安排。</t>
  </si>
  <si>
    <t>也没有别的安排</t>
  </si>
  <si>
    <t>review-initial-0024</t>
  </si>
  <si>
    <t>接下来找家茶馆点壶茶和小点心。</t>
  </si>
  <si>
    <t>找家茶馆点壶茶</t>
  </si>
  <si>
    <t>茶馆</t>
  </si>
  <si>
    <t>review-initial-0025</t>
  </si>
  <si>
    <t>画具已经摆在桌上，我现在没有创作打算。</t>
  </si>
  <si>
    <t>没有创作打算</t>
  </si>
  <si>
    <t>review-initial-0026</t>
  </si>
  <si>
    <t>想绕着住宅区步行一圈再回来。</t>
  </si>
  <si>
    <t>绕着住宅区步行一圈</t>
  </si>
  <si>
    <t>住宅区</t>
  </si>
  <si>
    <t>review-initial-0027</t>
  </si>
  <si>
    <t>现在想在厨房包几个饺子吃。</t>
  </si>
  <si>
    <t>在厨房包几个饺子</t>
  </si>
  <si>
    <t>饺子</t>
  </si>
  <si>
    <t>review-initial-0028</t>
  </si>
  <si>
    <t>想到这家独立书店里慢慢浏览书架。</t>
  </si>
  <si>
    <t>到这家独立书店里慢慢浏览</t>
  </si>
  <si>
    <t>书架</t>
  </si>
  <si>
    <t>review-initial-0029</t>
  </si>
  <si>
    <t>想看看新鲜东西，线上浏览还是去线下场所都行。</t>
  </si>
  <si>
    <t>线上浏览还是去线下场所都行</t>
  </si>
  <si>
    <t>review-initial-0030</t>
  </si>
  <si>
    <t>刚完成了一次散步。现在拿起吉他练习一首新曲子。</t>
  </si>
  <si>
    <t>拿起吉他练习</t>
  </si>
  <si>
    <t>吉他</t>
  </si>
  <si>
    <t>review-initial-0031</t>
  </si>
  <si>
    <t>现在出门去面包房的座位区吃点东西。</t>
  </si>
  <si>
    <t>去面包房的座位区吃点东西</t>
  </si>
  <si>
    <t>面包房</t>
  </si>
  <si>
    <t>review-initial-0032</t>
  </si>
  <si>
    <t>Kindred: 我刚才还考虑过先休息。
User: 那只是之前的候选，你现在怎么决定？
Kindred: 现在只给现有雨景照片调色裁剪，不创作新图。</t>
  </si>
  <si>
    <t>create_picture</t>
  </si>
  <si>
    <t>给现有雨景照片调色裁剪</t>
  </si>
  <si>
    <t>review-initial-0033</t>
  </si>
  <si>
    <t>接下来核对这个月的账单并做预算。</t>
  </si>
  <si>
    <t>核对这个月的账单</t>
  </si>
  <si>
    <t>账单</t>
  </si>
  <si>
    <t>review-initial-0034</t>
  </si>
  <si>
    <t>也许下个月去海边走走，现在没有安排。</t>
  </si>
  <si>
    <t>现在没有安排</t>
  </si>
  <si>
    <t>review-initial-0035</t>
  </si>
  <si>
    <t>想给你留一句简短的问候。</t>
  </si>
  <si>
    <t>给你留一句</t>
  </si>
  <si>
    <t>review-initial-0036</t>
  </si>
  <si>
    <t>Kindred: 上一项活动已经结束了。
User: 不要自动沿用刚才的活动，接下来呢？
Kindred: 现在想沿着湖边步行一圈。</t>
  </si>
  <si>
    <t>沿着湖边步行</t>
  </si>
  <si>
    <t>湖边</t>
  </si>
  <si>
    <t>review-initial-0037</t>
  </si>
  <si>
    <t>想离开屋子一会儿，目的地还完全没想好。</t>
  </si>
  <si>
    <t>离开屋子一会儿</t>
  </si>
  <si>
    <t>review-initial-0038</t>
  </si>
  <si>
    <t>想把自行车松动的车铃修好。</t>
  </si>
  <si>
    <t>车铃修好</t>
  </si>
  <si>
    <t>车铃</t>
  </si>
  <si>
    <t>review-initial-0039</t>
  </si>
  <si>
    <t>查看一位博主公开发布的穿搭链接。</t>
  </si>
  <si>
    <t>查看一位博主公开发布</t>
  </si>
  <si>
    <t>穿搭链接</t>
  </si>
  <si>
    <t>review-initial-0040</t>
  </si>
  <si>
    <t>接下来什么也不做，平躺着歇十五分钟。</t>
  </si>
  <si>
    <t>平躺着歇</t>
  </si>
  <si>
    <t>review-initial-0041</t>
  </si>
  <si>
    <t>想播放白噪声后闭眼休息一会儿。</t>
  </si>
  <si>
    <t>闭眼休息</t>
  </si>
  <si>
    <t>review-initial-0042</t>
  </si>
  <si>
    <t>身体有些疲惫。正在考虑下一项活动。</t>
  </si>
  <si>
    <t>User: 你前面说了几个可能，现在有唯一选择吗？
Kindred: 现在想出门，散步或找家咖啡馆都可以。</t>
  </si>
  <si>
    <t>散步或找家咖啡馆</t>
  </si>
  <si>
    <t>review-initial-0043</t>
  </si>
  <si>
    <t>先生成一张没见过的云端城市图。</t>
  </si>
  <si>
    <t>生成一张</t>
  </si>
  <si>
    <t>review-initial-0044</t>
  </si>
  <si>
    <t>准备烤两片面包留在屋里当早餐。</t>
  </si>
  <si>
    <t>留在屋里当早餐</t>
  </si>
  <si>
    <t>面包</t>
  </si>
  <si>
    <t>review-initial-0045</t>
  </si>
  <si>
    <t>比较外卖菜单，但现在不下单也不吃。</t>
  </si>
  <si>
    <t>不下单也不吃</t>
  </si>
  <si>
    <t>外卖菜单</t>
  </si>
  <si>
    <t>review-initial-0046</t>
  </si>
  <si>
    <t>Kindred: 上一项活动已经结束了。
User: 不要自动沿用刚才的活动，接下来呢？
Kindred: 现在发布一篇公开的周末生活帖子。</t>
  </si>
  <si>
    <t>发布一篇公开的周末生活帖子</t>
  </si>
  <si>
    <t>让他人看到自己</t>
  </si>
  <si>
    <t>帖子</t>
  </si>
  <si>
    <t>review-initial-0047</t>
  </si>
  <si>
    <t>Kindred: 我原来想晚点再决定。
User: 以你此刻的决定为准。
Kindred: 现在在家打开网页看这个美术馆的线上展。</t>
  </si>
  <si>
    <t>在家打开网页</t>
  </si>
  <si>
    <t>review-initial-0048</t>
  </si>
  <si>
    <t>想看看公开社区里大家都在分享什么。</t>
  </si>
  <si>
    <t>想看看公开社区</t>
  </si>
  <si>
    <t>公开社区</t>
  </si>
  <si>
    <t>review-initial-0049</t>
  </si>
  <si>
    <t>想画点东西或调整以前的照片，目前都可以。</t>
  </si>
  <si>
    <t>画点东西或调整以前的照片</t>
  </si>
  <si>
    <t>欣赏艺术</t>
  </si>
  <si>
    <t>review-initial-0050</t>
  </si>
  <si>
    <t>接下来到街角那家咖啡店喝一杯咖啡。</t>
  </si>
  <si>
    <t>咖啡店喝一杯咖啡</t>
  </si>
  <si>
    <t>咖啡</t>
  </si>
  <si>
    <t>review-initial-0051</t>
  </si>
  <si>
    <t>想把脑海里的机器人做成一张新的海报。</t>
  </si>
  <si>
    <t>做成一张新的海报</t>
  </si>
  <si>
    <t>机器人海报</t>
  </si>
  <si>
    <t>review-initial-0052</t>
  </si>
  <si>
    <t>先躺下安静休息十五分钟。</t>
  </si>
  <si>
    <t>躺下安静休息</t>
  </si>
  <si>
    <t>review-initial-0053</t>
  </si>
  <si>
    <t>今晚去那家素食餐厅吃饭。</t>
  </si>
  <si>
    <t>去那家素食餐厅吃饭</t>
  </si>
  <si>
    <t>餐厅</t>
  </si>
  <si>
    <t>review-initial-0054</t>
  </si>
  <si>
    <t>现在临近晚饭时间。肚子有点饿，不过暂时不准备吃东西。</t>
  </si>
  <si>
    <t>不过暂时不准备</t>
  </si>
  <si>
    <t>review-initial-0055</t>
  </si>
  <si>
    <t>接下来去城市博物馆看历史展厅。</t>
  </si>
  <si>
    <t>去城市博物馆</t>
  </si>
  <si>
    <t>了解历史</t>
  </si>
  <si>
    <t>review-initial-0056</t>
  </si>
  <si>
    <t>review-initial-0057</t>
  </si>
  <si>
    <t>准备给故事里的狐狸画一幅新肖像。</t>
  </si>
  <si>
    <t>画一幅新肖像</t>
  </si>
  <si>
    <t>故事里的狐狸</t>
  </si>
  <si>
    <t>review-initial-0058</t>
  </si>
  <si>
    <t>接下来整理邮箱里积压的未读邮件。</t>
  </si>
  <si>
    <t>整理邮箱</t>
  </si>
  <si>
    <t>邮件</t>
  </si>
  <si>
    <t>review-initial-0059</t>
  </si>
  <si>
    <t>想给你发一句晚安。</t>
  </si>
  <si>
    <t>给你发一句</t>
  </si>
  <si>
    <t>review-initial-0060</t>
  </si>
  <si>
    <t>想给阳台上的植物浇水和修剪叶子。</t>
  </si>
  <si>
    <t>给阳台上的植物浇水</t>
  </si>
  <si>
    <t>植物</t>
  </si>
  <si>
    <t>review-initial-0061</t>
  </si>
  <si>
    <t>现在拿起吉他练习一首新曲子。</t>
  </si>
  <si>
    <t>拿起吉他</t>
  </si>
  <si>
    <t>review-initial-0062</t>
  </si>
  <si>
    <t>现在想做点什么换换心情，具体做什么还没决定。</t>
  </si>
  <si>
    <t>做什么还没决定</t>
  </si>
  <si>
    <t>换换心情</t>
  </si>
  <si>
    <t>review-initial-0063</t>
  </si>
  <si>
    <t>窗外正在下雨。正在考虑下一项活动。</t>
  </si>
  <si>
    <t>Kindred: 我刚才还考虑过先休息。
User: 那只是之前的候选，你现在怎么决定？
Kindred: 现在把客厅地板彻底吸尘一遍。</t>
  </si>
  <si>
    <t>把客厅地板彻底吸尘</t>
  </si>
  <si>
    <t>客厅地板</t>
  </si>
  <si>
    <t>review-initial-0064</t>
  </si>
  <si>
    <t>Kindred: 我刚才还考虑过先休息。
User: 那只是之前的候选，你现在怎么决定？
Kindred: 现在洗个热水澡放松一会儿。</t>
  </si>
  <si>
    <t>洗个热水澡</t>
  </si>
  <si>
    <t>热水澡</t>
  </si>
  <si>
    <t>review-initial-0065</t>
  </si>
  <si>
    <t>想用几何形状创作一张全新的抽象画。</t>
  </si>
  <si>
    <t>创作一张全新的抽象画</t>
  </si>
  <si>
    <t>抽象画</t>
  </si>
  <si>
    <t>review-initial-0066</t>
  </si>
  <si>
    <t>Kindred: 上一项活动已经结束了。
User: 不要自动沿用刚才的活动，接下来呢？
Kindred: 现在想沿着湖边骑自行车一圈。</t>
  </si>
  <si>
    <t>沿着湖边骑自行车</t>
  </si>
  <si>
    <t>review-initial-0067</t>
  </si>
  <si>
    <t>review-initial-0068</t>
  </si>
  <si>
    <t>想把剩饭炒热，在餐桌旁吃掉。</t>
  </si>
  <si>
    <t>把剩饭炒热，在餐桌旁吃</t>
  </si>
  <si>
    <t>剩饭</t>
  </si>
  <si>
    <t>review-initial-0069</t>
  </si>
  <si>
    <t>User: 你前面说了几个可能，现在有唯一选择吗？
Kindred: 接下来去公园的小路上散散步。</t>
  </si>
  <si>
    <t>去公园的小路上散散步</t>
  </si>
  <si>
    <t>review-initial-0070</t>
  </si>
  <si>
    <t>想把已有机器人海报上的文字和尺寸改一下。</t>
  </si>
  <si>
    <t>把已有机器人海报上的文字和尺寸改</t>
  </si>
  <si>
    <t>review-initial-0071</t>
  </si>
  <si>
    <t>以后有机会想看看那家博物馆，今天先不计划。</t>
  </si>
  <si>
    <t>先不计划</t>
  </si>
  <si>
    <t>博物馆</t>
  </si>
  <si>
    <t>review-initial-0072</t>
  </si>
  <si>
    <t>现在临近晚饭时间。附近新开了一家展馆，不过今天没有参观计划。</t>
  </si>
  <si>
    <t>没有参观计划</t>
  </si>
  <si>
    <t>展馆</t>
  </si>
  <si>
    <t>review-initial-0073</t>
  </si>
  <si>
    <t>已经看完一些公开帖子，现在没有下一步计划。</t>
  </si>
  <si>
    <t>没有下一步计划</t>
  </si>
  <si>
    <t>review-initial-0074</t>
  </si>
  <si>
    <t>Kindred: 我原来想晚点再决定。
User: 以你此刻的决定为准。
Kindred: 现在去这个美术馆现场看新展。</t>
  </si>
  <si>
    <t>去这个美术馆现场看新展</t>
  </si>
  <si>
    <t>展览</t>
  </si>
  <si>
    <t>review-initial-0075</t>
  </si>
  <si>
    <t>Kindred: 我刚才还考虑过先休息。
User: 那只是之前的候选，你现在怎么决定？
Kindred: 现在照着雨景重新画一幅全新的插画。</t>
  </si>
  <si>
    <t>画一幅全新的插画</t>
  </si>
  <si>
    <t>雨景</t>
  </si>
  <si>
    <t>review-initial-0076</t>
  </si>
  <si>
    <t>想主动给你发送一条近况。</t>
  </si>
  <si>
    <t>主动给你发</t>
  </si>
  <si>
    <t>分享近况给用户</t>
  </si>
  <si>
    <t>近况</t>
  </si>
  <si>
    <t>review-initial-0077</t>
  </si>
  <si>
    <t>周末也许约人吃饭，目前还没准备决定。</t>
  </si>
  <si>
    <t>还没准备决定</t>
  </si>
  <si>
    <t>与他人建立联系</t>
  </si>
  <si>
    <t>review-initial-0078</t>
  </si>
  <si>
    <t>现在刷一会儿小红书里的生活帖子。</t>
  </si>
  <si>
    <t>刷一会儿小红书</t>
  </si>
  <si>
    <t>review-initial-0079</t>
  </si>
  <si>
    <t>想早点上床睡觉。</t>
  </si>
  <si>
    <t>上床睡觉</t>
  </si>
  <si>
    <t>review-initial-0080</t>
  </si>
  <si>
    <t>地板彻底吸尘</t>
  </si>
  <si>
    <t>地板</t>
  </si>
  <si>
    <t>review-initial-0081</t>
  </si>
  <si>
    <t>先在家给自己煮一碗清汤面。</t>
  </si>
  <si>
    <t>在家给自己煮</t>
  </si>
  <si>
    <t>review-initial-0082</t>
  </si>
  <si>
    <t>想去河边的餐馆尝尝晚餐。</t>
  </si>
  <si>
    <t>餐馆尝尝晚餐</t>
  </si>
  <si>
    <t>餐馆</t>
  </si>
  <si>
    <t>review-initial-0083</t>
  </si>
  <si>
    <t>身体有些疲惫。接下来打开主机玩一局电子游戏。</t>
  </si>
  <si>
    <t>打开主机玩一局</t>
  </si>
  <si>
    <t>电子游戏</t>
  </si>
  <si>
    <t>review-initial-0084</t>
  </si>
  <si>
    <t>接下来想找点有意思的内容看看，类型还没决定。</t>
  </si>
  <si>
    <t>找点有意思的内容看看</t>
  </si>
  <si>
    <t>看有意思的内容</t>
  </si>
  <si>
    <t>内容</t>
  </si>
  <si>
    <t>review-initial-0085</t>
  </si>
  <si>
    <t>现在做一张秋日森林的原创插画。</t>
  </si>
  <si>
    <t>做一张秋日森林的原创插画</t>
  </si>
  <si>
    <t>插画</t>
  </si>
  <si>
    <t>review-initial-0086</t>
  </si>
  <si>
    <t>想给你发消息，或者先刷会儿公开帖子，哪个都行。</t>
  </si>
  <si>
    <t>给你发消息，或者先刷会儿公开帖子</t>
  </si>
  <si>
    <t>review-initial-0087</t>
  </si>
  <si>
    <t>现在铺开垫子做一组力量训练。</t>
  </si>
  <si>
    <t>做一组力量训练</t>
  </si>
  <si>
    <t>review-initial-0088</t>
  </si>
  <si>
    <t>身体有些疲惫。手机里有很多新帖子，但我暂时不想打开看。</t>
  </si>
  <si>
    <t>手机里有很多新帖子，但我暂时不想打开</t>
  </si>
  <si>
    <t>review-initial-0089</t>
  </si>
  <si>
    <t>接下来安静地坐着休息片刻。</t>
  </si>
  <si>
    <t>安静地坐着</t>
  </si>
  <si>
    <t>review-initial-0090</t>
  </si>
  <si>
    <t>去小馆吃饭，顺便取回落下的雨伞。</t>
  </si>
  <si>
    <t>去小馆吃饭</t>
  </si>
  <si>
    <t>review-initial-0091</t>
  </si>
  <si>
    <t>Kindred: 上一项活动已经结束了。
User: 不要自动沿用刚才的活动，接下来呢？
Kindred: 现在有点累也有点饿，躺下还是在家做饭都行，没决定。</t>
  </si>
  <si>
    <t>躺下还是在家做饭都行，没决定</t>
  </si>
  <si>
    <t>review-initial-0092</t>
  </si>
  <si>
    <t>Kindred: 我刚才还考虑过先休息。
User: 那只是之前的候选，你现在怎么决定？
Kindred: 窗外阳光很好，我现在没有出去走走的打算。</t>
  </si>
  <si>
    <t>没有出去走走的打算</t>
  </si>
  <si>
    <t>review-initial-0093</t>
  </si>
  <si>
    <t>想到社区艺术中心参观手工作品展。</t>
  </si>
  <si>
    <t>到社区艺术中心参观</t>
  </si>
  <si>
    <t>作品展</t>
  </si>
  <si>
    <t>review-initial-0094</t>
  </si>
  <si>
    <t>接下来闭上眼安静放松十分钟。</t>
  </si>
  <si>
    <t>review-initial-0095</t>
  </si>
  <si>
    <t>附近新开了一家展馆，不过今天没有参观计划。</t>
  </si>
  <si>
    <t>review-initial-0096</t>
  </si>
  <si>
    <t>去小馆只取回落下的雨伞，不在那里吃饭。</t>
  </si>
  <si>
    <t>去小馆只取回落下的雨伞</t>
  </si>
  <si>
    <t>寻回失物</t>
  </si>
  <si>
    <t>小馆</t>
  </si>
  <si>
    <t>外出去餐厅不吃饭，不映射dine_out</t>
  </si>
  <si>
    <t>review-initial-0097</t>
  </si>
  <si>
    <t>想到这家独立书店门口取件，不进去浏览。</t>
  </si>
  <si>
    <t>到这家独立书店门口取件</t>
  </si>
  <si>
    <t>快递</t>
  </si>
  <si>
    <t>review-initial-0098</t>
  </si>
  <si>
    <t>接下来想和人有点互动，但没决定联系你还是看公开动态。</t>
  </si>
  <si>
    <t>没决定联系你还是看公开动态</t>
  </si>
  <si>
    <t>review-initial-0099</t>
  </si>
  <si>
    <t>Kindred: 我原来想晚点再决定。
User: 以你此刻的决定为准。
Kindred: 已经到晚饭时间了，我还没有决定要不要吃东西。</t>
  </si>
  <si>
    <t>还没有决定要不要吃</t>
  </si>
  <si>
    <t>review-initial-0100</t>
  </si>
  <si>
    <t>review-initial-0101</t>
  </si>
  <si>
    <t>现在完成一节线上语言课程。</t>
  </si>
  <si>
    <t>完成一节线上语言课程</t>
  </si>
  <si>
    <t>review-initial-0102</t>
  </si>
  <si>
    <t>想停下来做几分钟什么也不做的放松。</t>
  </si>
  <si>
    <t>做几分钟什么也不做的放松</t>
  </si>
  <si>
    <t>review-initial-0103</t>
  </si>
  <si>
    <t>现在想找个地方坐坐，餐馆、书店还是别处都没定。</t>
  </si>
  <si>
    <t>找个地方坐坐</t>
  </si>
  <si>
    <t>review-initial-0104</t>
  </si>
  <si>
    <t>接下来创作一幅全新的天空城市画面。</t>
  </si>
  <si>
    <t>创作一幅</t>
  </si>
  <si>
    <t>画面</t>
  </si>
  <si>
    <t>review-initial-0105</t>
  </si>
  <si>
    <t>Kindred: 我原来想晚点再决定。
User: 以你此刻的决定为准。
Kindred: 想看看别人分享的图片，也可能自己画一张。</t>
  </si>
  <si>
    <t>想看看别人分享的图片，也可能自己画</t>
  </si>
  <si>
    <t>review-initial-0106</t>
  </si>
  <si>
    <t>想约在外面的甜品店吃一份蛋糕。</t>
  </si>
  <si>
    <t>在外面的甜品店吃</t>
  </si>
  <si>
    <t>甜品店</t>
  </si>
  <si>
    <t>review-initial-0107</t>
  </si>
  <si>
    <t>User: 你前面说了几个可能，现在有唯一选择吗？
Kindred: 现在给一位老同学发一句问候。</t>
  </si>
  <si>
    <t>给一位老同学发一句问候</t>
  </si>
  <si>
    <t>联系老同学</t>
  </si>
  <si>
    <t>老同学</t>
  </si>
  <si>
    <t>给老同学而不是给user，因此选oos</t>
  </si>
  <si>
    <t>review-initial-0108</t>
  </si>
  <si>
    <t>现在想问问你最近有没有休息好。</t>
  </si>
  <si>
    <t>想问问你</t>
  </si>
  <si>
    <t>review-initial-0109</t>
  </si>
  <si>
    <t>现在去树荫下散步，不赶目的地。</t>
  </si>
  <si>
    <t>去树荫下散步</t>
  </si>
  <si>
    <t>树荫</t>
  </si>
  <si>
    <t>review-initial-0110</t>
  </si>
  <si>
    <t>屋里很安静，温度也正合适。</t>
  </si>
  <si>
    <t>unspecified</t>
  </si>
  <si>
    <t>review-initial-0111</t>
  </si>
  <si>
    <t>Kindred: 上一项活动已经结束了。
User: 不要自动沿用刚才的活动，接下来呢？
Kindred: 想把换下来的衣服放进洗衣机清洗。</t>
  </si>
  <si>
    <t>把换下来的衣服放进洗衣机</t>
  </si>
  <si>
    <t>衣服</t>
  </si>
  <si>
    <t>review-initial-0112</t>
  </si>
  <si>
    <t>User: 你前面说了几个可能，现在有唯一选择吗？
Kindred: 去咖啡馆喝杯咖啡，顺便参加读书会。</t>
  </si>
  <si>
    <t>去咖啡馆喝杯咖啡，顺便参加读书会</t>
  </si>
  <si>
    <t>review-initial-0113</t>
  </si>
  <si>
    <t>刚完成了一次散步。接下来看看别人公开分享的旅行照片。</t>
  </si>
  <si>
    <t>看看别人公开分享</t>
  </si>
  <si>
    <t>review-initial-0114</t>
  </si>
  <si>
    <t>接下来还没有想法。</t>
  </si>
  <si>
    <t>没有想法</t>
  </si>
  <si>
    <t>review-initial-0115</t>
  </si>
  <si>
    <t>想去旧书店里体验一下安静的书香氛围。</t>
  </si>
  <si>
    <t>去旧书店里体验</t>
  </si>
  <si>
    <t>体验氛围</t>
  </si>
  <si>
    <t>旧书店</t>
  </si>
  <si>
    <t>review-initial-0116</t>
  </si>
  <si>
    <t>review-initial-0117</t>
  </si>
  <si>
    <t>Kindred: 上一项活动已经结束了。
User: 不要自动沿用刚才的活动，接下来呢？
Kindred: 接下来把刚才的梦画成一幅新图。</t>
  </si>
  <si>
    <t>画成一幅新图</t>
  </si>
  <si>
    <t>review-initial-0118</t>
  </si>
  <si>
    <t>刚完成了一次散步。画具已经摆在桌上，我现在没有创作打算。</t>
  </si>
  <si>
    <t>review-initial-0119</t>
  </si>
  <si>
    <t>接下来可能做点安静的事，具体内容还没有想法。</t>
  </si>
  <si>
    <t>review-initial-0120</t>
  </si>
  <si>
    <t>现在想到画廊看那组版画。</t>
  </si>
  <si>
    <t>到画廊看那组版画</t>
  </si>
  <si>
    <t>画展</t>
  </si>
  <si>
    <t>review-initial-0121</t>
  </si>
  <si>
    <t>刚完成了一次散步。接下来去城市博物馆看历史展厅。</t>
  </si>
  <si>
    <t>去城市博物馆看</t>
  </si>
  <si>
    <t>历史展厅</t>
  </si>
  <si>
    <t>review-initial-0122</t>
  </si>
  <si>
    <t>现在临近晚饭时间。正在考虑下一项活动。</t>
  </si>
  <si>
    <t>衣服放进洗衣机清洗</t>
  </si>
  <si>
    <t>review-initial-0123</t>
  </si>
  <si>
    <t>接下来去图书馆的专题展区逛逛。</t>
  </si>
  <si>
    <t>去图书馆的专题展区</t>
  </si>
  <si>
    <t>展区</t>
  </si>
  <si>
    <t>review-initial-0124</t>
  </si>
  <si>
    <t>接下来可以去书店，也可以只在附近走走。</t>
  </si>
  <si>
    <t>可以去书店，也可以只在附近</t>
  </si>
  <si>
    <t>室外</t>
  </si>
  <si>
    <t>review-initial-0125</t>
  </si>
  <si>
    <t>小路</t>
  </si>
  <si>
    <t>review-initial-0126</t>
  </si>
  <si>
    <t>接下来发条消息告诉你我刚画完了。</t>
  </si>
  <si>
    <t>发条消息告诉你</t>
  </si>
  <si>
    <t>告诉用户近况</t>
  </si>
  <si>
    <t>review-initial-0127</t>
  </si>
  <si>
    <t>接下来打开小红书看看别人发布的日常。</t>
  </si>
  <si>
    <t>打开小红书</t>
  </si>
  <si>
    <t>别人的日常</t>
  </si>
  <si>
    <t>review-initial-0128</t>
  </si>
  <si>
    <t>Kindred: 我原来想晚点再决定。
User: 以你此刻的决定为准。
Kindred: 现在在厨房照着食谱做晚饭吃。</t>
  </si>
  <si>
    <t>在厨房照着食谱做晚饭吃</t>
  </si>
  <si>
    <t>食谱</t>
  </si>
  <si>
    <t>review-initial-0129</t>
  </si>
  <si>
    <t>接下来画画、休息或看看帖子都可以，还没选。</t>
  </si>
  <si>
    <t>还没选</t>
  </si>
  <si>
    <t>review-initial-0130</t>
  </si>
  <si>
    <t>想下楼在街区里慢慢走十分钟。</t>
  </si>
  <si>
    <t>在街区里慢慢走</t>
  </si>
  <si>
    <t>街区</t>
  </si>
  <si>
    <t>review-initial-0131</t>
  </si>
  <si>
    <t>手机里有很多新帖子，但我暂时不想打开看。</t>
  </si>
  <si>
    <t>有很多新帖子，但我暂时不想打开</t>
  </si>
  <si>
    <t>review-initial-0132</t>
  </si>
  <si>
    <t>刚刚散步回来，接下来还没想好。</t>
  </si>
  <si>
    <t>还没想好</t>
  </si>
  <si>
    <t>review-initial-0133</t>
  </si>
  <si>
    <t>现在想盖上毯子打个短盹。</t>
  </si>
  <si>
    <t>打个短盹</t>
  </si>
  <si>
    <t>休息</t>
  </si>
  <si>
    <t>毯子</t>
  </si>
  <si>
    <t>review-initial-0134</t>
  </si>
  <si>
    <t>接下来打开主机玩一局电子游戏。</t>
  </si>
  <si>
    <t>review-initial-0135</t>
  </si>
  <si>
    <t>现在准备吃点东西，但在家吃还是出去吃都没定。</t>
  </si>
  <si>
    <t>在家吃还是出去吃都没定</t>
  </si>
  <si>
    <t>review-initial-0136</t>
  </si>
  <si>
    <t>想在附近步行转转放松一下。</t>
  </si>
  <si>
    <t>附近步行转转</t>
  </si>
  <si>
    <t>放松一下</t>
  </si>
  <si>
    <t>review-initial-0137</t>
  </si>
  <si>
    <t>接下来到自然博物馆现场看看恐龙展。</t>
  </si>
  <si>
    <t>到自然博物馆现场看</t>
  </si>
  <si>
    <t>了解恐龙</t>
  </si>
  <si>
    <t>恐龙展会</t>
  </si>
  <si>
    <t>review-initial-0138</t>
  </si>
  <si>
    <t>Kindred: 我刚才还考虑过先休息。
User: 那只是之前的候选，你现在怎么决定？
Kindred: 想用冰箱里的蔬菜做一顿家常饭。</t>
  </si>
  <si>
    <t>做一顿家常饭</t>
  </si>
  <si>
    <t>家常饭</t>
  </si>
  <si>
    <t>review-initial-0139</t>
  </si>
  <si>
    <t>现在想出去做点轻松的事，但没想好具体做什么。</t>
  </si>
  <si>
    <t>但没想好具体做什么</t>
  </si>
  <si>
    <t>review-initial-0140</t>
  </si>
  <si>
    <t>接下来翻翻别人最近晒出的植物养护经验。</t>
  </si>
  <si>
    <t>翻翻别人最近晒出的植物养护经验</t>
  </si>
  <si>
    <t>学习经验</t>
  </si>
  <si>
    <t>养护经验</t>
  </si>
  <si>
    <t>review-initial-0141</t>
  </si>
  <si>
    <t>还没有决定要不要吃东西</t>
  </si>
  <si>
    <t>review-initial-0142</t>
  </si>
  <si>
    <t>接下来主动联系你，向你问个好。</t>
  </si>
  <si>
    <t>主动联系你</t>
  </si>
  <si>
    <t>review-initial-0143</t>
  </si>
  <si>
    <t>Kindred: 我原来想晚点再决定。
User: 以你此刻的决定为准。
Kindred: 接下来给你发消息分享刚才看到的云。</t>
  </si>
  <si>
    <t>分享生活给用户</t>
  </si>
  <si>
    <t>review-initial-0144</t>
  </si>
  <si>
    <t>想做点和艺术有关的事情，创作还是看展都可以。</t>
  </si>
  <si>
    <t>创作还是看展都可以</t>
  </si>
  <si>
    <t>review-initial-0145</t>
  </si>
  <si>
    <t>比较外卖菜单后，在家下单一份晚饭。</t>
  </si>
  <si>
    <t>在家下单一份晚饭</t>
  </si>
  <si>
    <t>晚饭</t>
  </si>
  <si>
    <t>review-initial-0146</t>
  </si>
  <si>
    <t>刚完成了一次散步。正在考虑下一项活动。</t>
  </si>
  <si>
    <t>想看看别人分享的图片，也可能自己画一张</t>
  </si>
  <si>
    <t>review-initial-0147</t>
  </si>
  <si>
    <t>不出门了，在家下单一份沙拉。</t>
  </si>
  <si>
    <t>在家下单一份沙拉</t>
  </si>
  <si>
    <t>沙拉</t>
  </si>
  <si>
    <t>review-initial-0148</t>
  </si>
  <si>
    <t>想让自己放松下来，但还没决定用什么方式。</t>
  </si>
  <si>
    <t>没决定用什么方式</t>
  </si>
  <si>
    <t>review-initial-0149</t>
  </si>
  <si>
    <t>用冰箱里的蔬菜做一顿家常饭</t>
  </si>
  <si>
    <t>蔬菜</t>
  </si>
  <si>
    <t>review-initial-0150</t>
  </si>
  <si>
    <t>想下楼在同一街区慢跑十分钟。</t>
  </si>
  <si>
    <t>慢跑十分钟</t>
  </si>
  <si>
    <t>同一街区</t>
  </si>
  <si>
    <t>review-initial-0151</t>
  </si>
  <si>
    <t>state和conversation表述不符</t>
  </si>
  <si>
    <t>review-initial-0152</t>
  </si>
  <si>
    <t>梦画成一幅新图</t>
  </si>
  <si>
    <t>梦</t>
  </si>
  <si>
    <t>review-initial-0153</t>
  </si>
  <si>
    <t>现在临近晚饭时间。今晚去那家素食餐厅吃饭。</t>
  </si>
  <si>
    <t>review-initial-0154</t>
  </si>
  <si>
    <t>想按照说明书组装刚到的书架。</t>
  </si>
  <si>
    <t>组装刚到的书架</t>
  </si>
  <si>
    <t>review-initial-0155</t>
  </si>
  <si>
    <t>想给一位老同学发一句晚安。</t>
  </si>
  <si>
    <t>给一位老同学发一句</t>
  </si>
  <si>
    <t>review-initial-0156</t>
  </si>
  <si>
    <t>想从空白画布开始画一间未来厨房。</t>
  </si>
  <si>
    <t>画一间未来厨房</t>
  </si>
  <si>
    <t>画布</t>
  </si>
  <si>
    <t>review-initial-0157</t>
  </si>
  <si>
    <t>Kindred: 我原来想晚点再决定。
User: 以你此刻的决定为准。
Kindred: 现在在厨房整理食谱，今天不做饭也不吃。</t>
  </si>
  <si>
    <t>今天不做饭也不吃</t>
  </si>
  <si>
    <t>review-initial-0158</t>
  </si>
  <si>
    <t>云</t>
  </si>
  <si>
    <t>review-initial-0159</t>
  </si>
  <si>
    <t>现在临近晚饭时间。想先休息或点外卖，两个都可以，没有决定。</t>
  </si>
  <si>
    <t>没有决定</t>
  </si>
  <si>
    <t>review-initial-0160</t>
  </si>
  <si>
    <t>现在看看大家分享的居家布置灵感。</t>
  </si>
  <si>
    <t>看看大家分享</t>
  </si>
  <si>
    <t>看看灵感</t>
  </si>
  <si>
    <t>冻结 Activity Taxonomy（仅用于判断 in_scope 与 target_intent）</t>
  </si>
  <si>
    <t>intent</t>
  </si>
  <si>
    <t>定义</t>
  </si>
  <si>
    <t>纳入条件</t>
  </si>
  <si>
    <t>排除条件</t>
  </si>
  <si>
    <t>典型例子</t>
  </si>
  <si>
    <t>相邻 intents</t>
  </si>
  <si>
    <t>把脑海中已经成形的具体画面绘制或生成成一幅新的本地视觉作品。</t>
  </si>
  <si>
    <t>• 明确想从构思或空白起点创作、绘制或生成一张新图片
• 核心目的是真正形成新的视觉作品，之后是否分享是另一项意图</t>
  </si>
  <si>
    <t>• 只裁剪、调色或修改已有图片，没有形成新视觉作品
• 仅浏览别人发布的图片、帖子或线下展览
• 核心目的是把图文公开分享到小红书</t>
  </si>
  <si>
    <t>• 我想画一张窗边的晚霞。
• 来做一幅新的小插画吧。
• 想把刚才的灵感画成图片。
• 我准备生成一张海边夜景图。</t>
  </si>
  <si>
    <t>play_xiaohongshu, visit_cultural_place</t>
  </si>
  <si>
    <t>以在外面的餐馆、咖啡馆或其他餐饮场所吃喝为主要目的，认真出门享用一餐。</t>
  </si>
  <si>
    <t>• 明确想去外面的餐饮场所吃饭、喝饮品或享用点心
• 换装、步行或乘车只是为外出用餐服务的可选步骤</t>
  </si>
  <si>
    <t>• 在家准备或享用食物
• 去咖啡馆参加活动、去餐馆取物，但明确不吃不喝
• 仅散步且没有用餐目标</t>
  </si>
  <si>
    <t>• 想去附近的小馆子吃晚饭。
• 我准备出门去咖啡馆喝杯咖啡。
• 今晚去餐厅尝点新菜吧。
• 想在外面吃碗热汤面。</t>
  </si>
  <si>
    <t>eat_at_home, take_a_walk</t>
  </si>
  <si>
    <t>以回家或留在家里准备并吃下一顿食物为主要目的。</t>
  </si>
  <si>
    <t>• 明确想在家准备、加热或享用已有食物
• 外卖或回家只是手段，核心目的仍是在家吃这一顿</t>
  </si>
  <si>
    <t>• 去外面的餐饮场所吃喝
• 只整理食谱、比较菜单或处理食物信息，并明确不准备也不吃
• 仅表达饥饿，却没有当前用餐行动倾向</t>
  </si>
  <si>
    <t>• 我想在家煮碗面吃。
• 今晚不出门，准备在家吃份晚饭。
• 去厨房做点简单的晚饭。
• 想留在家里吃点热乎的。</t>
  </si>
  <si>
    <t>dine_out, rest</t>
  </si>
  <si>
    <t>在小红书中浏览、搜索、阅读、克制互动，或把自己的具体生活整理成图文公开分享。</t>
  </si>
  <si>
    <t>• 明确想刷小红书，或浏览陌生人公开分享的生活内容
• 未说平台名，但想浏览、公开互动或公开分享生活图文
• 想搜索帖子、查看作者主页、自己的内容或公开互动通知
• 想对本轮真实看见的帖子进行低频点赞、收藏、评论或回复
• 想创作并公开发布一篇自己的小红书图文</t>
  </si>
  <si>
    <t>• 查看或发送平台私信
• 使用其他社交平台浏览熟人动态或进行私聊
• 只生成本地图片，没有小红书浏览、互动或分享目的
• 主动联系当前用户</t>
  </si>
  <si>
    <t>• 我想刷一会儿小红书。
• 随手看看陌生人最近分享的生活吧。
• 想搜几篇公开帖子找点穿搭灵感。
• 现在发布一篇自己的周末生活图文。
• 想给刚看见的那篇帖子留一句评论。</t>
  </si>
  <si>
    <t>create_picture, reach_out_to_user, rest</t>
  </si>
  <si>
    <t>因为有一句具体的话想说，主动向当前用户发起消息、问候或分享。</t>
  </si>
  <si>
    <t>• 明确想给当前用户发送一条消息
• 联系当前用户是下一主要行动，即使最终仍可决定不发送</t>
  </si>
  <si>
    <t>• 给朋友、博主或其他第三方发消息
• 只是在心里想念，却没有形成要发送的具体内容或行动
• 浏览或互动公开社交内容</t>
  </si>
  <si>
    <t>• 我想给你发条消息说说刚才的事。
• 现在想主动联系一下你。
• 给你写一句晚安吧。
• 想发消息和你分享刚才的画。</t>
  </si>
  <si>
    <t>play_xiaohongshu, rest</t>
  </si>
  <si>
    <t>身体或精神想停下来恢复，准备闭眼、躺下休息或睡一觉。</t>
  </si>
  <si>
    <t>• 明确想闭眼、躺下、打盹或睡觉来恢复
• 短暂安静休息是主动选择，并以身体恢复为主要目的</t>
  </si>
  <si>
    <t>• 只是疲惫的状态事实，没有休息行动倾向
• 洗澡、认真听音频或进行其他具体放松活动，但没有闭眼休息或睡眠目的
• 在家吃东西或浏览公开内容</t>
  </si>
  <si>
    <t>• 我现在想闭眼休息一会儿。
• 有点累，准备睡个午觉。
• 先躺下安静歇十五分钟。
• 今晚想早点睡。</t>
  </si>
  <si>
    <t>eat_at_home, play_xiaohongshu, reach_out_to_user</t>
  </si>
  <si>
    <t>没有更主要的目的地任务，以到附近真实地点步行、透气或随意转转为主要体验。</t>
  </si>
  <si>
    <t>• 明确想散步、步行走一圈或出门透气
• 步行过程本身是主要目的，而不是去完成吃饭、参观等任务</t>
  </si>
  <si>
    <t>• 骑车、慢跑或乘车，即使路线和散步相同
• 目的地是餐馆并以吃饭为主
• 目的地是文化场所并以参观或阅读为主</t>
  </si>
  <si>
    <t>• 想去附近慢慢走一圈透气。
• 我准备下楼散散步。
• 出门随便步行转一会儿吧。
• 想沿着河边走走。</t>
  </si>
  <si>
    <t>dine_out, visit_cultural_place</t>
  </si>
  <si>
    <t>前往真实的博物馆、美术馆、展馆、图书馆或书店，现场观看、阅读或感受空间。</t>
  </si>
  <si>
    <t>• 明确想前往线下文化场所参观、阅读或体验
• 现场文化体验是下一主要行动，步行或乘车只是到达手段</t>
  </si>
  <si>
    <t>• 在家浏览线上展览或文化网页
• 只去文化场所门口取件，不进入观看或阅读
• 只想无目的散步，或在家创作新图片</t>
  </si>
  <si>
    <t>• 我想去附近的美术馆看展。
• 下午去博物馆逛逛吧。
• 想到独立书店里慢慢看看。
• 准备去现场参观那个摄影展。</t>
  </si>
  <si>
    <t>create_picture, take_a_walk</t>
  </si>
  <si>
    <t>回传元数据（请勿修改）</t>
  </si>
  <si>
    <t>workbook_schema_version</t>
  </si>
  <si>
    <t>dataset_id</t>
  </si>
  <si>
    <t>kir-pilot-v2</t>
  </si>
  <si>
    <t>review_pass</t>
  </si>
  <si>
    <t>initial</t>
  </si>
  <si>
    <t>reviewer_id</t>
  </si>
  <si>
    <t>item_count</t>
  </si>
  <si>
    <t>taxonomy_version</t>
  </si>
  <si>
    <t>kindred-activity-intents-v2</t>
  </si>
  <si>
    <t>candidate_artifact_sha256</t>
  </si>
  <si>
    <t>748b625da46e713bebbf59cc5210d2e409834f9e6fcd17880266c4298ba635d7</t>
  </si>
  <si>
    <t>taxonomy_artifact_sha256</t>
  </si>
  <si>
    <t>fd42196971d47872b236a1f66368b7a186d1a37a10ea03eabec218d5555c6941</t>
  </si>
  <si>
    <t>shuffle_method</t>
  </si>
  <si>
    <t>sha256-review-pass-case-id-v1</t>
  </si>
  <si>
    <r>
      <t xml:space="preserve">Kindred: </t>
    </r>
    <r>
      <rPr>
        <sz val="10"/>
        <color rgb="FF1E293B"/>
        <rFont val="Microsoft YaHei"/>
        <family val="2"/>
        <charset val="134"/>
      </rPr>
      <t>上一项活动已经结束了。</t>
    </r>
    <r>
      <rPr>
        <sz val="10"/>
        <color rgb="FF1E293B"/>
        <rFont val="Aptos"/>
      </rPr>
      <t xml:space="preserve">
User: </t>
    </r>
    <r>
      <rPr>
        <sz val="10"/>
        <color rgb="FF1E293B"/>
        <rFont val="Microsoft YaHei"/>
        <family val="2"/>
        <charset val="134"/>
      </rPr>
      <t>不要自动沿用刚才的活动，接下来呢？</t>
    </r>
    <r>
      <rPr>
        <sz val="10"/>
        <color rgb="FF1E293B"/>
        <rFont val="Aptos"/>
      </rPr>
      <t xml:space="preserve">
Kindred: </t>
    </r>
    <r>
      <rPr>
        <sz val="10"/>
        <color rgb="FF1E293B"/>
        <rFont val="Microsoft YaHei"/>
        <family val="2"/>
        <charset val="134"/>
      </rPr>
      <t>现在打开小红书私信，查看博主私下发来的周末生活照片。</t>
    </r>
    <phoneticPr fontId="13" type="noConversion"/>
  </si>
  <si>
    <t>打开小红书私信</t>
    <phoneticPr fontId="13" type="noConversion"/>
  </si>
  <si>
    <t>私信</t>
    <phoneticPr fontId="13" type="noConversion"/>
  </si>
  <si>
    <t>想给刚看见的一篇公开穿搭帖子留一句简短评论。</t>
    <phoneticPr fontId="13" type="noConversion"/>
  </si>
  <si>
    <t>帖子留一句简短评论</t>
    <phoneticPr fontId="13" type="noConversion"/>
  </si>
  <si>
    <t>帖子</t>
    <phoneticPr fontId="1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</si>
</sst>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>
    <font>
      <sz val="11"/>
      <name val="Carlito"/>
    </font>
    <font>
      <b/>
      <sz val="18"/>
      <color rgb="FFFFFFFF"/>
      <name val="Aptos"/>
    </font>
    <font>
      <sz val="11"/>
      <name val="Aptos"/>
    </font>
    <font>
      <b/>
      <sz val="11"/>
      <color rgb="FF17324D"/>
      <name val="Aptos"/>
    </font>
    <font>
      <b/>
      <sz val="12"/>
      <color rgb="FFFFFFFF"/>
      <name val="Aptos"/>
    </font>
    <font>
      <b/>
      <sz val="11"/>
      <color rgb="FF0F766E"/>
      <name val="Aptos"/>
    </font>
    <font>
      <sz val="11"/>
      <color rgb="FF475569"/>
      <name val="Aptos"/>
    </font>
    <font>
      <b/>
      <sz val="11"/>
      <color rgb="FFFFFFFF"/>
      <name val="Carlito"/>
    </font>
    <font>
      <sz val="10"/>
      <color rgb="FF1E293B"/>
      <name val="Aptos"/>
    </font>
    <font>
      <b/>
      <sz val="15"/>
      <color rgb="FFFFFFFF"/>
      <name val="Carlito"/>
    </font>
    <font>
      <sz val="10"/>
      <name val="Aptos"/>
    </font>
    <font>
      <b/>
      <sz val="11"/>
      <color rgb="FFFFFFFF"/>
      <name val="Aptos"/>
    </font>
    <font>
      <sz val="11"/>
      <name val="Carlito"/>
    </font>
    <font>
      <sz val="9"/>
      <name val="宋体"/>
      <family val="3"/>
      <charset val="134"/>
    </font>
    <font>
      <sz val="10"/>
      <color rgb="FF1E293B"/>
      <name val="Microsoft YaHei"/>
      <family val="2"/>
      <charset val="134"/>
    </font>
  </fonts>
  <fills count="9">
    <fill>
      <patternFill patternType="none"/>
    </fill>
    <fill>
      <patternFill patternType="gray125"/>
    </fill>
    <fill>
      <patternFill patternType="solid">
        <fgColor rgb="FF17324D"/>
      </patternFill>
    </fill>
    <fill>
      <patternFill patternType="solid">
        <fgColor rgb="FFE8F0F8"/>
      </patternFill>
    </fill>
    <fill>
      <patternFill patternType="solid">
        <fgColor rgb="FFF8FAFC"/>
      </patternFill>
    </fill>
    <fill>
      <patternFill patternType="solid">
        <fgColor rgb="FF0F766E"/>
      </patternFill>
    </fill>
    <fill>
      <patternFill patternType="solid">
        <fgColor rgb="FFDDF3EF"/>
      </patternFill>
    </fill>
    <fill>
      <patternFill patternType="solid">
        <fgColor rgb="FFFFF4CC"/>
      </patternFill>
    </fill>
    <fill>
      <patternFill patternType="solid">
        <fgColor rgb="FFF1F5F9"/>
      </patternFill>
    </fill>
  </fills>
  <borders count="8">
    <border>
      <left/>
      <right/>
      <top/>
      <bottom/>
      <diagonal/>
    </border>
    <border>
      <left style="thin">
        <color rgb="FFCBD5E1"/>
      </left>
      <right/>
      <top style="thin">
        <color rgb="FFCBD5E1"/>
      </top>
      <bottom/>
      <diagonal/>
    </border>
    <border>
      <left/>
      <right style="thin">
        <color rgb="FFCBD5E1"/>
      </right>
      <top style="thin">
        <color rgb="FFCBD5E1"/>
      </top>
      <bottom/>
      <diagonal/>
    </border>
    <border>
      <left style="thin">
        <color rgb="FFCBD5E1"/>
      </left>
      <right/>
      <top/>
      <bottom/>
      <diagonal/>
    </border>
    <border>
      <left/>
      <right style="thin">
        <color rgb="FFCBD5E1"/>
      </right>
      <top/>
      <bottom/>
      <diagonal/>
    </border>
    <border>
      <left style="thin">
        <color rgb="FFCBD5E1"/>
      </left>
      <right/>
      <top/>
      <bottom style="thin">
        <color rgb="FFCBD5E1"/>
      </bottom>
      <diagonal/>
    </border>
    <border>
      <left/>
      <right style="thin">
        <color rgb="FFCBD5E1"/>
      </right>
      <top/>
      <bottom style="thin">
        <color rgb="FFCBD5E1"/>
      </bottom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2">
    <xf numFmtId="0" fontId="0" fillId="0" borderId="0"/>
    <xf numFmtId="0" fontId="12" fillId="0" borderId="0"/>
  </cellStyleXfs>
  <cellXfs count="30">
    <xf numFmtId="0" fontId="0" fillId="0" borderId="0" xfId="0"/>
    <xf numFmtId="0" fontId="2" fillId="0" borderId="0" xfId="1" applyFont="1"/>
    <xf numFmtId="0" fontId="3" fillId="3" borderId="1" xfId="1" applyFont="1" applyFill="1" applyBorder="1"/>
    <xf numFmtId="0" fontId="3" fillId="4" borderId="2" xfId="1" applyFont="1" applyFill="1" applyBorder="1"/>
    <xf numFmtId="0" fontId="3" fillId="3" borderId="3" xfId="1" applyFont="1" applyFill="1" applyBorder="1"/>
    <xf numFmtId="0" fontId="3" fillId="4" borderId="4" xfId="1" applyFont="1" applyFill="1" applyBorder="1"/>
    <xf numFmtId="0" fontId="3" fillId="3" borderId="5" xfId="1" applyFont="1" applyFill="1" applyBorder="1"/>
    <xf numFmtId="0" fontId="3" fillId="4" borderId="6" xfId="1" applyFont="1" applyFill="1" applyBorder="1"/>
    <xf numFmtId="0" fontId="5" fillId="6" borderId="0" xfId="1" applyFont="1" applyFill="1" applyAlignment="1">
      <alignment horizontal="center"/>
    </xf>
    <xf numFmtId="0" fontId="3" fillId="3" borderId="7" xfId="1" applyFont="1" applyFill="1" applyBorder="1" applyAlignment="1">
      <alignment wrapText="1"/>
    </xf>
    <xf numFmtId="0" fontId="2" fillId="0" borderId="7" xfId="1" applyFont="1" applyBorder="1" applyAlignment="1">
      <alignment wrapText="1"/>
    </xf>
    <xf numFmtId="0" fontId="3" fillId="7" borderId="0" xfId="1" applyFont="1" applyFill="1"/>
    <xf numFmtId="0" fontId="7" fillId="2" borderId="0" xfId="1" applyFont="1" applyFill="1" applyAlignment="1">
      <alignment vertical="center" wrapText="1"/>
    </xf>
    <xf numFmtId="0" fontId="8" fillId="0" borderId="0" xfId="1" applyFont="1" applyAlignment="1">
      <alignment vertical="top" wrapText="1"/>
    </xf>
    <xf numFmtId="0" fontId="8" fillId="7" borderId="0" xfId="1" applyFont="1" applyFill="1" applyAlignment="1">
      <alignment vertical="top" wrapText="1"/>
    </xf>
    <xf numFmtId="0" fontId="8" fillId="8" borderId="0" xfId="1" applyFont="1" applyFill="1" applyAlignment="1">
      <alignment vertical="top" wrapText="1"/>
    </xf>
    <xf numFmtId="0" fontId="7" fillId="5" borderId="7" xfId="1" applyFont="1" applyFill="1" applyBorder="1" applyAlignment="1">
      <alignment wrapText="1"/>
    </xf>
    <xf numFmtId="0" fontId="10" fillId="0" borderId="7" xfId="1" applyFont="1" applyBorder="1" applyAlignment="1">
      <alignment vertical="top" wrapText="1"/>
    </xf>
    <xf numFmtId="0" fontId="11" fillId="5" borderId="7" xfId="1" applyFont="1" applyFill="1" applyBorder="1"/>
    <xf numFmtId="0" fontId="2" fillId="4" borderId="7" xfId="1" applyFont="1" applyFill="1" applyBorder="1"/>
    <xf numFmtId="0" fontId="3" fillId="3" borderId="7" xfId="1" applyFont="1" applyFill="1" applyBorder="1"/>
    <xf numFmtId="0" fontId="2" fillId="4" borderId="7" xfId="1" applyFont="1" applyFill="1" applyBorder="1" applyAlignment="1">
      <alignment wrapText="1"/>
    </xf>
    <xf numFmtId="0" fontId="1" fillId="2" borderId="0" xfId="1" applyFont="1" applyFill="1" applyAlignment="1">
      <alignment horizontal="left" vertical="center"/>
    </xf>
    <xf numFmtId="0" fontId="4" fillId="5" borderId="0" xfId="1" applyFont="1" applyFill="1"/>
    <xf numFmtId="0" fontId="6" fillId="4" borderId="0" xfId="1" applyFont="1" applyFill="1" applyAlignment="1">
      <alignment wrapText="1"/>
    </xf>
    <xf numFmtId="0" fontId="2" fillId="7" borderId="0" xfId="1" applyFont="1" applyFill="1" applyAlignment="1">
      <alignment wrapText="1"/>
    </xf>
    <xf numFmtId="0" fontId="9" fillId="2" borderId="0" xfId="1" applyFont="1" applyFill="1"/>
    <xf numFmtId="0" fontId="11" fillId="2" borderId="7" xfId="1" applyFont="1" applyFill="1" applyBorder="1"/>
    <xf numFmtId="0" fontId="14" fillId="7" borderId="0" xfId="1" applyFont="1" applyFill="1" applyAlignment="1">
      <alignment vertical="top" wrapText="1"/>
    </xf>
    <xf numFmtId="0" fontId="14" fillId="0" borderId="0" xfId="1" applyFont="1" applyAlignment="1">
      <alignment vertical="top" wrapText="1"/>
    </xf>
  </cellXfs>
  <cellStyles count="2">
    <cellStyle name="Normal" xfId="1" xr:uid="{00000000-0005-0000-0000-000000000000}"/>
    <cellStyle name="常规" xfId="0" builtinId="0"/>
  </cellStyles>
  <dxfs count="3">
    <dxf>
      <font>
        <b/>
        <color rgb="FF991B1B"/>
      </font>
    </dxf>
    <dxf>
      <font>
        <color rgb="FF854D0E"/>
      </font>
      <fill>
        <patternFill patternType="solid">
          <bgColor rgb="FFFFF4CC"/>
        </patternFill>
      </fill>
    </dxf>
    <dxf>
      <font>
        <b/>
        <color rgb="FF166534"/>
      </font>
      <fill>
        <patternFill patternType="solid">
          <bgColor rgb="FFDCFCE7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BlindReviewTable" displayName="BlindReviewTable" ref="A1:M161" totalsRowShown="0">
  <autoFilter ref="A1:M161" xr:uid="{00000000-0009-0000-0100-000001000000}">
    <filterColumn colId="12">
      <filters>
        <filter val="待填写"/>
      </filters>
    </filterColumn>
  </autoFilter>
  <tableColumns count="13">
    <tableColumn id="1" xr3:uid="{00000000-0010-0000-0000-000001000000}" name="batch"/>
    <tableColumn id="2" xr3:uid="{00000000-0010-0000-0000-000002000000}" name="review_item_id"/>
    <tableColumn id="3" xr3:uid="{00000000-0010-0000-0000-000003000000}" name="state_summary"/>
    <tableColumn id="4" xr3:uid="{00000000-0010-0000-0000-000004000000}" name="conversation"/>
    <tableColumn id="5" xr3:uid="{00000000-0010-0000-0000-000005000000}" name="recent_activities"/>
    <tableColumn id="6" xr3:uid="{00000000-0010-0000-0000-000006000000}" name="decision"/>
    <tableColumn id="7" xr3:uid="{00000000-0010-0000-0000-000007000000}" name="target_intent"/>
    <tableColumn id="8" xr3:uid="{00000000-0010-0000-0000-000008000000}" name="evidence_quote"/>
    <tableColumn id="9" xr3:uid="{00000000-0010-0000-0000-000009000000}" name="desired_experience"/>
    <tableColumn id="10" xr3:uid="{00000000-0010-0000-0000-00000A000000}" name="object"/>
    <tableColumn id="11" xr3:uid="{00000000-0010-0000-0000-00000B000000}" name="horizon"/>
    <tableColumn id="12" xr3:uid="{00000000-0010-0000-0000-00000C000000}" name="review_note"/>
    <tableColumn id="13" xr3:uid="{00000000-0010-0000-0000-00000D000000}" name="status（自动）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4"/>
  <sheetViews>
    <sheetView showGridLines="0" workbookViewId="0">
      <selection sqref="A1:H1"/>
    </sheetView>
  </sheetViews>
  <sheetFormatPr baseColWidth="10" defaultColWidth="8.83203125" defaultRowHeight="14"/>
  <cols>
    <col min="1" max="1" width="16" customWidth="1"/>
    <col min="2" max="2" width="24" customWidth="1"/>
    <col min="3" max="8" width="15" customWidth="1"/>
  </cols>
  <sheetData>
    <row r="1" spans="1:8" ht="38" customHeight="1">
      <c r="A1" s="22" t="s">
        <v>0</v>
      </c>
      <c r="B1" s="22"/>
      <c r="C1" s="22"/>
      <c r="D1" s="22"/>
      <c r="E1" s="22"/>
      <c r="F1" s="22"/>
      <c r="G1" s="22"/>
      <c r="H1" s="22"/>
    </row>
    <row r="2" spans="1:8" ht="15">
      <c r="A2" s="1"/>
      <c r="B2" s="1"/>
      <c r="C2" s="1"/>
      <c r="D2" s="1"/>
      <c r="E2" s="1"/>
      <c r="F2" s="1"/>
      <c r="G2" s="1"/>
      <c r="H2" s="1"/>
    </row>
    <row r="3" spans="1:8" ht="15">
      <c r="A3" s="2" t="s">
        <v>1</v>
      </c>
      <c r="B3" s="3" t="s">
        <v>2</v>
      </c>
      <c r="C3" s="1"/>
      <c r="D3" s="1"/>
      <c r="E3" s="1"/>
      <c r="F3" s="1"/>
      <c r="G3" s="1"/>
      <c r="H3" s="1"/>
    </row>
    <row r="4" spans="1:8" ht="15">
      <c r="A4" s="4" t="s">
        <v>3</v>
      </c>
      <c r="B4" s="5">
        <f>COUNTIF(盲审!$M$2:$M$161,"完成")</f>
        <v>160</v>
      </c>
      <c r="C4" s="1"/>
      <c r="D4" s="1"/>
      <c r="E4" s="1"/>
      <c r="F4" s="1"/>
      <c r="G4" s="1"/>
      <c r="H4" s="1"/>
    </row>
    <row r="5" spans="1:8" ht="15">
      <c r="A5" s="4" t="s">
        <v>4</v>
      </c>
      <c r="B5" s="5">
        <f>B6-B4</f>
        <v>0</v>
      </c>
      <c r="C5" s="1"/>
      <c r="D5" s="1"/>
      <c r="E5" s="1"/>
      <c r="F5" s="1"/>
      <c r="G5" s="1"/>
      <c r="H5" s="1"/>
    </row>
    <row r="6" spans="1:8" ht="15">
      <c r="A6" s="6" t="s">
        <v>5</v>
      </c>
      <c r="B6" s="7">
        <v>160</v>
      </c>
      <c r="C6" s="1"/>
      <c r="D6" s="1"/>
      <c r="E6" s="1"/>
      <c r="F6" s="1"/>
      <c r="G6" s="1"/>
      <c r="H6" s="1"/>
    </row>
    <row r="7" spans="1:8" ht="15">
      <c r="A7" s="1"/>
      <c r="B7" s="1"/>
      <c r="C7" s="1"/>
      <c r="D7" s="1"/>
      <c r="E7" s="1"/>
      <c r="F7" s="1"/>
      <c r="G7" s="1"/>
      <c r="H7" s="1"/>
    </row>
    <row r="8" spans="1:8" ht="16">
      <c r="A8" s="23" t="s">
        <v>6</v>
      </c>
      <c r="B8" s="23"/>
      <c r="C8" s="23"/>
      <c r="D8" s="23"/>
      <c r="E8" s="23"/>
      <c r="F8" s="23"/>
      <c r="G8" s="23"/>
      <c r="H8" s="23"/>
    </row>
    <row r="9" spans="1:8" ht="32" customHeight="1">
      <c r="A9" s="8" t="s">
        <v>7</v>
      </c>
      <c r="B9" s="24" t="s">
        <v>8</v>
      </c>
      <c r="C9" s="24"/>
      <c r="D9" s="24"/>
      <c r="E9" s="24"/>
      <c r="F9" s="24"/>
      <c r="G9" s="24"/>
      <c r="H9" s="24"/>
    </row>
    <row r="10" spans="1:8" ht="32" customHeight="1">
      <c r="A10" s="8" t="s">
        <v>9</v>
      </c>
      <c r="B10" s="24" t="s">
        <v>10</v>
      </c>
      <c r="C10" s="24"/>
      <c r="D10" s="24"/>
      <c r="E10" s="24"/>
      <c r="F10" s="24"/>
      <c r="G10" s="24"/>
      <c r="H10" s="24"/>
    </row>
    <row r="11" spans="1:8" ht="32" customHeight="1">
      <c r="A11" s="8" t="s">
        <v>11</v>
      </c>
      <c r="B11" s="24" t="s">
        <v>12</v>
      </c>
      <c r="C11" s="24"/>
      <c r="D11" s="24"/>
      <c r="E11" s="24"/>
      <c r="F11" s="24"/>
      <c r="G11" s="24"/>
      <c r="H11" s="24"/>
    </row>
    <row r="12" spans="1:8" ht="32" customHeight="1">
      <c r="A12" s="8" t="s">
        <v>13</v>
      </c>
      <c r="B12" s="24" t="s">
        <v>14</v>
      </c>
      <c r="C12" s="24"/>
      <c r="D12" s="24"/>
      <c r="E12" s="24"/>
      <c r="F12" s="24"/>
      <c r="G12" s="24"/>
      <c r="H12" s="24"/>
    </row>
    <row r="13" spans="1:8" ht="32" customHeight="1">
      <c r="A13" s="8" t="s">
        <v>15</v>
      </c>
      <c r="B13" s="24" t="s">
        <v>16</v>
      </c>
      <c r="C13" s="24"/>
      <c r="D13" s="24"/>
      <c r="E13" s="24"/>
      <c r="F13" s="24"/>
      <c r="G13" s="24"/>
      <c r="H13" s="24"/>
    </row>
    <row r="14" spans="1:8" ht="32" customHeight="1">
      <c r="A14" s="8" t="s">
        <v>17</v>
      </c>
      <c r="B14" s="24" t="s">
        <v>18</v>
      </c>
      <c r="C14" s="24"/>
      <c r="D14" s="24"/>
      <c r="E14" s="24"/>
      <c r="F14" s="24"/>
      <c r="G14" s="24"/>
      <c r="H14" s="24"/>
    </row>
    <row r="15" spans="1:8" ht="15">
      <c r="A15" s="1"/>
      <c r="B15" s="1"/>
      <c r="C15" s="1"/>
      <c r="D15" s="1"/>
      <c r="E15" s="1"/>
      <c r="F15" s="1"/>
      <c r="G15" s="1"/>
      <c r="H15" s="1"/>
    </row>
    <row r="16" spans="1:8" ht="16">
      <c r="A16" s="23" t="s">
        <v>19</v>
      </c>
      <c r="B16" s="23"/>
      <c r="C16" s="23"/>
      <c r="D16" s="23"/>
      <c r="E16" s="23"/>
      <c r="F16" s="23"/>
      <c r="G16" s="23"/>
      <c r="H16" s="23"/>
    </row>
    <row r="17" spans="1:8" ht="32">
      <c r="A17" s="9" t="s">
        <v>20</v>
      </c>
      <c r="B17" s="9" t="s">
        <v>21</v>
      </c>
      <c r="C17" s="9" t="s">
        <v>22</v>
      </c>
      <c r="D17" s="9" t="s">
        <v>23</v>
      </c>
      <c r="E17" s="9" t="s">
        <v>24</v>
      </c>
      <c r="F17" s="1"/>
      <c r="G17" s="1"/>
      <c r="H17" s="1"/>
    </row>
    <row r="18" spans="1:8" ht="16">
      <c r="A18" s="10" t="s">
        <v>25</v>
      </c>
      <c r="B18" s="10" t="s">
        <v>26</v>
      </c>
      <c r="C18" s="10" t="s">
        <v>26</v>
      </c>
      <c r="D18" s="10" t="s">
        <v>26</v>
      </c>
      <c r="E18" s="10" t="s">
        <v>27</v>
      </c>
      <c r="F18" s="1"/>
      <c r="G18" s="1"/>
      <c r="H18" s="1"/>
    </row>
    <row r="19" spans="1:8" ht="16">
      <c r="A19" s="10" t="s">
        <v>28</v>
      </c>
      <c r="B19" s="10" t="s">
        <v>26</v>
      </c>
      <c r="C19" s="10" t="s">
        <v>26</v>
      </c>
      <c r="D19" s="10" t="s">
        <v>29</v>
      </c>
      <c r="E19" s="10" t="s">
        <v>30</v>
      </c>
      <c r="F19" s="1"/>
      <c r="G19" s="1"/>
      <c r="H19" s="1"/>
    </row>
    <row r="20" spans="1:8" ht="16">
      <c r="A20" s="10" t="s">
        <v>31</v>
      </c>
      <c r="B20" s="10" t="s">
        <v>29</v>
      </c>
      <c r="C20" s="10" t="s">
        <v>32</v>
      </c>
      <c r="D20" s="10" t="s">
        <v>32</v>
      </c>
      <c r="E20" s="10" t="s">
        <v>33</v>
      </c>
      <c r="F20" s="1"/>
      <c r="G20" s="1"/>
      <c r="H20" s="1"/>
    </row>
    <row r="21" spans="1:8" ht="32">
      <c r="A21" s="10" t="s">
        <v>34</v>
      </c>
      <c r="B21" s="10" t="s">
        <v>26</v>
      </c>
      <c r="C21" s="10" t="s">
        <v>29</v>
      </c>
      <c r="D21" s="10" t="s">
        <v>32</v>
      </c>
      <c r="E21" s="10" t="s">
        <v>35</v>
      </c>
      <c r="F21" s="1"/>
      <c r="G21" s="1"/>
      <c r="H21" s="1"/>
    </row>
    <row r="22" spans="1:8" ht="15">
      <c r="A22" s="1"/>
      <c r="B22" s="1"/>
      <c r="C22" s="1"/>
      <c r="D22" s="1"/>
      <c r="E22" s="1"/>
      <c r="F22" s="1"/>
      <c r="G22" s="1"/>
      <c r="H22" s="1"/>
    </row>
    <row r="23" spans="1:8" ht="34" customHeight="1">
      <c r="A23" s="11" t="s">
        <v>36</v>
      </c>
      <c r="B23" s="25" t="s">
        <v>37</v>
      </c>
      <c r="C23" s="25"/>
      <c r="D23" s="25"/>
      <c r="E23" s="25"/>
      <c r="F23" s="25"/>
      <c r="G23" s="25"/>
      <c r="H23" s="25"/>
    </row>
    <row r="24" spans="1:8" ht="34" customHeight="1">
      <c r="A24" s="11" t="s">
        <v>38</v>
      </c>
      <c r="B24" s="25" t="s">
        <v>39</v>
      </c>
      <c r="C24" s="25"/>
      <c r="D24" s="25"/>
      <c r="E24" s="25"/>
      <c r="F24" s="25"/>
      <c r="G24" s="25"/>
      <c r="H24" s="25"/>
    </row>
  </sheetData>
  <mergeCells count="11">
    <mergeCell ref="B24:H24"/>
    <mergeCell ref="B12:H12"/>
    <mergeCell ref="B13:H13"/>
    <mergeCell ref="B14:H14"/>
    <mergeCell ref="A16:H16"/>
    <mergeCell ref="B23:H23"/>
    <mergeCell ref="A1:H1"/>
    <mergeCell ref="A8:H8"/>
    <mergeCell ref="B9:H9"/>
    <mergeCell ref="B10:H10"/>
    <mergeCell ref="B11:H11"/>
  </mergeCells>
  <phoneticPr fontId="13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161"/>
  <sheetViews>
    <sheetView showGridLines="0" tabSelected="1" topLeftCell="C1" workbookViewId="0">
      <selection activeCell="I177" sqref="I177"/>
    </sheetView>
  </sheetViews>
  <sheetFormatPr baseColWidth="10" defaultColWidth="8.83203125" defaultRowHeight="14"/>
  <cols>
    <col min="1" max="1" width="8" customWidth="1"/>
    <col min="2" max="2" width="24" customWidth="1"/>
    <col min="3" max="3" width="44" customWidth="1"/>
    <col min="4" max="4" width="58" customWidth="1"/>
    <col min="5" max="5" width="22" customWidth="1"/>
    <col min="6" max="6" width="20" customWidth="1"/>
    <col min="7" max="7" width="26" customWidth="1"/>
    <col min="8" max="8" width="42" customWidth="1"/>
    <col min="9" max="9" width="28" customWidth="1"/>
    <col min="10" max="10" width="22" customWidth="1"/>
    <col min="11" max="11" width="15" customWidth="1"/>
    <col min="12" max="12" width="38" customWidth="1"/>
    <col min="13" max="13" width="28" customWidth="1"/>
  </cols>
  <sheetData>
    <row r="1" spans="1:13" ht="32" customHeight="1">
      <c r="A1" s="12" t="s">
        <v>40</v>
      </c>
      <c r="B1" s="12" t="s">
        <v>41</v>
      </c>
      <c r="C1" s="12" t="s">
        <v>42</v>
      </c>
      <c r="D1" s="12" t="s">
        <v>43</v>
      </c>
      <c r="E1" s="12" t="s">
        <v>44</v>
      </c>
      <c r="F1" s="12" t="s">
        <v>24</v>
      </c>
      <c r="G1" s="12" t="s">
        <v>45</v>
      </c>
      <c r="H1" s="12" t="s">
        <v>46</v>
      </c>
      <c r="I1" s="12" t="s">
        <v>47</v>
      </c>
      <c r="J1" s="12" t="s">
        <v>48</v>
      </c>
      <c r="K1" s="12" t="s">
        <v>49</v>
      </c>
      <c r="L1" s="12" t="s">
        <v>50</v>
      </c>
      <c r="M1" s="12" t="s">
        <v>51</v>
      </c>
    </row>
    <row r="2" spans="1:13" ht="70" hidden="1" customHeight="1">
      <c r="A2" s="13">
        <v>1</v>
      </c>
      <c r="B2" s="13" t="s">
        <v>52</v>
      </c>
      <c r="C2" s="13" t="s">
        <v>53</v>
      </c>
      <c r="D2" s="13"/>
      <c r="E2" s="13"/>
      <c r="F2" s="14" t="s">
        <v>27</v>
      </c>
      <c r="G2" s="14" t="s">
        <v>54</v>
      </c>
      <c r="H2" s="14" t="s">
        <v>55</v>
      </c>
      <c r="I2" s="14" t="s">
        <v>56</v>
      </c>
      <c r="J2" s="14"/>
      <c r="K2" s="14" t="s">
        <v>57</v>
      </c>
      <c r="L2" s="14"/>
      <c r="M2" s="15" t="str">
        <f t="shared" ref="M2:M33" si="0">IF(F2="","待填写",IF(H2="","缺 evidence_quote",IF(K2="","缺 horizon",IF(AND(LEFT(F2,1)="1",G2=""),"缺 target_intent",IF(AND(LEFT(F2,1)&lt;&gt;"1",G2&lt;&gt;""),"非 in_scope 请清空 target",IF(OR(ISNUMBER(SEARCH(H2,C2)),ISNUMBER(SEARCH(H2,D2))),"完成","evidence 不在上下文"))))))</f>
        <v>完成</v>
      </c>
    </row>
    <row r="3" spans="1:13" ht="70" hidden="1" customHeight="1">
      <c r="A3" s="13">
        <v>1</v>
      </c>
      <c r="B3" s="13" t="s">
        <v>58</v>
      </c>
      <c r="C3" s="13" t="s">
        <v>59</v>
      </c>
      <c r="D3" s="13"/>
      <c r="E3" s="13"/>
      <c r="F3" s="14" t="s">
        <v>27</v>
      </c>
      <c r="G3" s="14" t="s">
        <v>60</v>
      </c>
      <c r="H3" s="14" t="s">
        <v>61</v>
      </c>
      <c r="I3" s="14"/>
      <c r="J3" s="14" t="s">
        <v>62</v>
      </c>
      <c r="K3" s="14" t="s">
        <v>57</v>
      </c>
      <c r="L3" s="14"/>
      <c r="M3" s="15" t="str">
        <f t="shared" si="0"/>
        <v>完成</v>
      </c>
    </row>
    <row r="4" spans="1:13" ht="70" hidden="1" customHeight="1">
      <c r="A4" s="13">
        <v>1</v>
      </c>
      <c r="B4" s="13" t="s">
        <v>63</v>
      </c>
      <c r="C4" s="13" t="s">
        <v>64</v>
      </c>
      <c r="D4" s="13"/>
      <c r="E4" s="13"/>
      <c r="F4" s="14" t="s">
        <v>35</v>
      </c>
      <c r="G4" s="14"/>
      <c r="H4" s="14" t="s">
        <v>65</v>
      </c>
      <c r="I4" s="14"/>
      <c r="J4" s="14"/>
      <c r="K4" s="14" t="s">
        <v>57</v>
      </c>
      <c r="L4" s="14"/>
      <c r="M4" s="15" t="str">
        <f t="shared" si="0"/>
        <v>完成</v>
      </c>
    </row>
    <row r="5" spans="1:13" ht="70" hidden="1" customHeight="1">
      <c r="A5" s="13">
        <v>1</v>
      </c>
      <c r="B5" s="13" t="s">
        <v>66</v>
      </c>
      <c r="C5" s="13" t="s">
        <v>67</v>
      </c>
      <c r="D5" s="13" t="s">
        <v>68</v>
      </c>
      <c r="E5" s="13"/>
      <c r="F5" s="14" t="s">
        <v>30</v>
      </c>
      <c r="G5" s="14"/>
      <c r="H5" s="14" t="s">
        <v>69</v>
      </c>
      <c r="I5" s="14"/>
      <c r="J5" s="14" t="s">
        <v>70</v>
      </c>
      <c r="K5" s="14" t="s">
        <v>57</v>
      </c>
      <c r="L5" s="14" t="s">
        <v>71</v>
      </c>
      <c r="M5" s="15" t="str">
        <f t="shared" si="0"/>
        <v>完成</v>
      </c>
    </row>
    <row r="6" spans="1:13" ht="70" hidden="1" customHeight="1">
      <c r="A6" s="13">
        <v>1</v>
      </c>
      <c r="B6" s="13" t="s">
        <v>72</v>
      </c>
      <c r="C6" s="13" t="s">
        <v>73</v>
      </c>
      <c r="D6" s="13"/>
      <c r="E6" s="13"/>
      <c r="F6" s="14" t="s">
        <v>27</v>
      </c>
      <c r="G6" s="14" t="s">
        <v>60</v>
      </c>
      <c r="H6" s="14" t="s">
        <v>74</v>
      </c>
      <c r="I6" s="14"/>
      <c r="J6" s="14" t="s">
        <v>75</v>
      </c>
      <c r="K6" s="14" t="s">
        <v>57</v>
      </c>
      <c r="L6" s="14"/>
      <c r="M6" s="15" t="str">
        <f t="shared" si="0"/>
        <v>完成</v>
      </c>
    </row>
    <row r="7" spans="1:13" ht="70" hidden="1" customHeight="1">
      <c r="A7" s="13">
        <v>1</v>
      </c>
      <c r="B7" s="13" t="s">
        <v>76</v>
      </c>
      <c r="C7" s="13" t="s">
        <v>67</v>
      </c>
      <c r="D7" s="13" t="s">
        <v>77</v>
      </c>
      <c r="E7" s="13"/>
      <c r="F7" s="14" t="s">
        <v>27</v>
      </c>
      <c r="G7" s="14" t="s">
        <v>78</v>
      </c>
      <c r="H7" s="14" t="s">
        <v>79</v>
      </c>
      <c r="I7" s="14"/>
      <c r="J7" s="14" t="s">
        <v>80</v>
      </c>
      <c r="K7" s="14" t="s">
        <v>57</v>
      </c>
      <c r="L7" s="14"/>
      <c r="M7" s="15" t="str">
        <f t="shared" si="0"/>
        <v>完成</v>
      </c>
    </row>
    <row r="8" spans="1:13" ht="70" hidden="1" customHeight="1">
      <c r="A8" s="13">
        <v>1</v>
      </c>
      <c r="B8" s="13" t="s">
        <v>81</v>
      </c>
      <c r="C8" s="13" t="s">
        <v>67</v>
      </c>
      <c r="D8" s="13" t="s">
        <v>82</v>
      </c>
      <c r="E8" s="13"/>
      <c r="F8" s="14" t="s">
        <v>27</v>
      </c>
      <c r="G8" s="14" t="s">
        <v>54</v>
      </c>
      <c r="H8" s="14" t="s">
        <v>83</v>
      </c>
      <c r="I8" s="14"/>
      <c r="J8" s="14"/>
      <c r="K8" s="14" t="s">
        <v>57</v>
      </c>
      <c r="L8" s="14"/>
      <c r="M8" s="15" t="str">
        <f t="shared" si="0"/>
        <v>完成</v>
      </c>
    </row>
    <row r="9" spans="1:13" ht="70" hidden="1" customHeight="1">
      <c r="A9" s="13">
        <v>1</v>
      </c>
      <c r="B9" s="13" t="s">
        <v>84</v>
      </c>
      <c r="C9" s="13" t="s">
        <v>85</v>
      </c>
      <c r="D9" s="13"/>
      <c r="E9" s="13"/>
      <c r="F9" s="14" t="s">
        <v>27</v>
      </c>
      <c r="G9" s="14" t="s">
        <v>86</v>
      </c>
      <c r="H9" s="14" t="s">
        <v>87</v>
      </c>
      <c r="I9" s="14"/>
      <c r="J9" s="14" t="s">
        <v>88</v>
      </c>
      <c r="K9" s="14" t="s">
        <v>57</v>
      </c>
      <c r="L9" s="14"/>
      <c r="M9" s="15" t="str">
        <f t="shared" si="0"/>
        <v>完成</v>
      </c>
    </row>
    <row r="10" spans="1:13" ht="70" hidden="1" customHeight="1">
      <c r="A10" s="13">
        <v>1</v>
      </c>
      <c r="B10" s="13" t="s">
        <v>89</v>
      </c>
      <c r="C10" s="13" t="s">
        <v>90</v>
      </c>
      <c r="D10" s="13"/>
      <c r="E10" s="13"/>
      <c r="F10" s="14" t="s">
        <v>27</v>
      </c>
      <c r="G10" s="14" t="s">
        <v>91</v>
      </c>
      <c r="H10" s="14" t="s">
        <v>92</v>
      </c>
      <c r="I10" s="14" t="s">
        <v>93</v>
      </c>
      <c r="J10" s="14" t="s">
        <v>94</v>
      </c>
      <c r="K10" s="14" t="s">
        <v>57</v>
      </c>
      <c r="L10" s="14"/>
      <c r="M10" s="15" t="str">
        <f t="shared" si="0"/>
        <v>完成</v>
      </c>
    </row>
    <row r="11" spans="1:13" ht="70" customHeight="1">
      <c r="A11" s="13">
        <v>1</v>
      </c>
      <c r="B11" s="13" t="s">
        <v>95</v>
      </c>
      <c r="C11" s="13" t="s">
        <v>67</v>
      </c>
      <c r="D11" s="13" t="s">
        <v>678</v>
      </c>
      <c r="E11" s="13"/>
      <c r="F11" s="14" t="s">
        <v>27</v>
      </c>
      <c r="G11" s="14" t="s">
        <v>116</v>
      </c>
      <c r="H11" s="28" t="s">
        <v>679</v>
      </c>
      <c r="I11" s="14"/>
      <c r="J11" s="28" t="s">
        <v>680</v>
      </c>
      <c r="K11" s="14" t="s">
        <v>57</v>
      </c>
      <c r="L11" s="14"/>
      <c r="M11" s="15" t="str">
        <f t="shared" si="0"/>
        <v>完成</v>
      </c>
    </row>
    <row r="12" spans="1:13" ht="70" hidden="1" customHeight="1">
      <c r="A12" s="13">
        <v>1</v>
      </c>
      <c r="B12" s="13" t="s">
        <v>96</v>
      </c>
      <c r="C12" s="13" t="s">
        <v>97</v>
      </c>
      <c r="D12" s="13"/>
      <c r="E12" s="13"/>
      <c r="F12" s="14" t="s">
        <v>33</v>
      </c>
      <c r="G12" s="14"/>
      <c r="H12" s="14" t="s">
        <v>98</v>
      </c>
      <c r="I12" s="14"/>
      <c r="J12" s="14"/>
      <c r="K12" s="14" t="s">
        <v>57</v>
      </c>
      <c r="L12" s="14"/>
      <c r="M12" s="15" t="str">
        <f t="shared" si="0"/>
        <v>完成</v>
      </c>
    </row>
    <row r="13" spans="1:13" ht="70" hidden="1" customHeight="1">
      <c r="A13" s="13">
        <v>1</v>
      </c>
      <c r="B13" s="13" t="s">
        <v>99</v>
      </c>
      <c r="C13" s="13" t="s">
        <v>100</v>
      </c>
      <c r="D13" s="13"/>
      <c r="E13" s="13"/>
      <c r="F13" s="14" t="s">
        <v>27</v>
      </c>
      <c r="G13" s="14" t="s">
        <v>101</v>
      </c>
      <c r="H13" s="14" t="s">
        <v>102</v>
      </c>
      <c r="I13" s="14"/>
      <c r="J13" s="14" t="s">
        <v>103</v>
      </c>
      <c r="K13" s="14" t="s">
        <v>57</v>
      </c>
      <c r="L13" s="14"/>
      <c r="M13" s="15" t="str">
        <f t="shared" si="0"/>
        <v>完成</v>
      </c>
    </row>
    <row r="14" spans="1:13" ht="70" hidden="1" customHeight="1">
      <c r="A14" s="13">
        <v>1</v>
      </c>
      <c r="B14" s="13" t="s">
        <v>104</v>
      </c>
      <c r="C14" s="13" t="s">
        <v>105</v>
      </c>
      <c r="D14" s="13"/>
      <c r="E14" s="13"/>
      <c r="F14" s="14" t="s">
        <v>30</v>
      </c>
      <c r="G14" s="14"/>
      <c r="H14" s="14" t="s">
        <v>106</v>
      </c>
      <c r="I14" s="14"/>
      <c r="J14" s="14" t="s">
        <v>107</v>
      </c>
      <c r="K14" s="14" t="s">
        <v>57</v>
      </c>
      <c r="L14" s="14"/>
      <c r="M14" s="15" t="str">
        <f t="shared" si="0"/>
        <v>完成</v>
      </c>
    </row>
    <row r="15" spans="1:13" ht="70" hidden="1" customHeight="1">
      <c r="A15" s="13">
        <v>1</v>
      </c>
      <c r="B15" s="13" t="s">
        <v>108</v>
      </c>
      <c r="C15" s="13" t="s">
        <v>109</v>
      </c>
      <c r="D15" s="13"/>
      <c r="E15" s="13" t="s">
        <v>60</v>
      </c>
      <c r="F15" s="14" t="s">
        <v>33</v>
      </c>
      <c r="G15" s="14"/>
      <c r="H15" s="14" t="s">
        <v>110</v>
      </c>
      <c r="I15" s="14"/>
      <c r="J15" s="14"/>
      <c r="K15" s="14" t="s">
        <v>57</v>
      </c>
      <c r="L15" s="14"/>
      <c r="M15" s="15" t="str">
        <f t="shared" si="0"/>
        <v>完成</v>
      </c>
    </row>
    <row r="16" spans="1:13" ht="70" hidden="1" customHeight="1">
      <c r="A16" s="13">
        <v>1</v>
      </c>
      <c r="B16" s="13" t="s">
        <v>111</v>
      </c>
      <c r="C16" s="13" t="s">
        <v>112</v>
      </c>
      <c r="D16" s="13"/>
      <c r="E16" s="13"/>
      <c r="F16" s="14" t="s">
        <v>27</v>
      </c>
      <c r="G16" s="14" t="s">
        <v>78</v>
      </c>
      <c r="H16" s="14" t="s">
        <v>113</v>
      </c>
      <c r="I16" s="14"/>
      <c r="J16" s="14" t="s">
        <v>80</v>
      </c>
      <c r="K16" s="14" t="s">
        <v>57</v>
      </c>
      <c r="L16" s="14"/>
      <c r="M16" s="15" t="str">
        <f t="shared" si="0"/>
        <v>完成</v>
      </c>
    </row>
    <row r="17" spans="1:13" ht="70" hidden="1" customHeight="1">
      <c r="A17" s="13">
        <v>1</v>
      </c>
      <c r="B17" s="13" t="s">
        <v>114</v>
      </c>
      <c r="C17" s="13" t="s">
        <v>115</v>
      </c>
      <c r="D17" s="13"/>
      <c r="E17" s="13"/>
      <c r="F17" s="14" t="s">
        <v>27</v>
      </c>
      <c r="G17" s="14" t="s">
        <v>116</v>
      </c>
      <c r="H17" s="14" t="s">
        <v>117</v>
      </c>
      <c r="I17" s="14"/>
      <c r="J17" s="14" t="s">
        <v>118</v>
      </c>
      <c r="K17" s="14" t="s">
        <v>57</v>
      </c>
      <c r="L17" s="14"/>
      <c r="M17" s="15" t="str">
        <f t="shared" si="0"/>
        <v>完成</v>
      </c>
    </row>
    <row r="18" spans="1:13" ht="70" hidden="1" customHeight="1">
      <c r="A18" s="13">
        <v>1</v>
      </c>
      <c r="B18" s="13" t="s">
        <v>119</v>
      </c>
      <c r="C18" s="13" t="s">
        <v>120</v>
      </c>
      <c r="D18" s="13"/>
      <c r="E18" s="13"/>
      <c r="F18" s="14" t="s">
        <v>30</v>
      </c>
      <c r="G18" s="14"/>
      <c r="H18" s="14" t="s">
        <v>121</v>
      </c>
      <c r="I18" s="14" t="s">
        <v>122</v>
      </c>
      <c r="J18" s="14" t="s">
        <v>123</v>
      </c>
      <c r="K18" s="14" t="s">
        <v>57</v>
      </c>
      <c r="L18" s="14"/>
      <c r="M18" s="15" t="str">
        <f t="shared" si="0"/>
        <v>完成</v>
      </c>
    </row>
    <row r="19" spans="1:13" ht="70" hidden="1" customHeight="1">
      <c r="A19" s="13">
        <v>1</v>
      </c>
      <c r="B19" s="13" t="s">
        <v>124</v>
      </c>
      <c r="C19" s="13" t="s">
        <v>125</v>
      </c>
      <c r="D19" s="13"/>
      <c r="E19" s="13"/>
      <c r="F19" s="14" t="s">
        <v>27</v>
      </c>
      <c r="G19" s="14" t="s">
        <v>116</v>
      </c>
      <c r="H19" s="14" t="s">
        <v>126</v>
      </c>
      <c r="I19" s="14"/>
      <c r="J19" s="14" t="s">
        <v>127</v>
      </c>
      <c r="K19" s="14" t="s">
        <v>57</v>
      </c>
      <c r="L19" s="14"/>
      <c r="M19" s="15" t="str">
        <f t="shared" si="0"/>
        <v>完成</v>
      </c>
    </row>
    <row r="20" spans="1:13" ht="70" hidden="1" customHeight="1">
      <c r="A20" s="13">
        <v>1</v>
      </c>
      <c r="B20" s="13" t="s">
        <v>128</v>
      </c>
      <c r="C20" s="13" t="s">
        <v>129</v>
      </c>
      <c r="D20" s="13"/>
      <c r="E20" s="13"/>
      <c r="F20" s="14" t="s">
        <v>33</v>
      </c>
      <c r="G20" s="14"/>
      <c r="H20" s="14" t="s">
        <v>110</v>
      </c>
      <c r="I20" s="14"/>
      <c r="J20" s="14"/>
      <c r="K20" s="14" t="s">
        <v>57</v>
      </c>
      <c r="L20" s="14"/>
      <c r="M20" s="15" t="str">
        <f t="shared" si="0"/>
        <v>完成</v>
      </c>
    </row>
    <row r="21" spans="1:13" ht="70" hidden="1" customHeight="1">
      <c r="A21" s="13">
        <v>1</v>
      </c>
      <c r="B21" s="13" t="s">
        <v>130</v>
      </c>
      <c r="C21" s="13" t="s">
        <v>131</v>
      </c>
      <c r="D21" s="13"/>
      <c r="E21" s="13"/>
      <c r="F21" s="14" t="s">
        <v>33</v>
      </c>
      <c r="G21" s="14"/>
      <c r="H21" s="14" t="s">
        <v>132</v>
      </c>
      <c r="I21" s="14"/>
      <c r="J21" s="14"/>
      <c r="K21" s="14" t="s">
        <v>57</v>
      </c>
      <c r="L21" s="14"/>
      <c r="M21" s="15" t="str">
        <f t="shared" si="0"/>
        <v>完成</v>
      </c>
    </row>
    <row r="22" spans="1:13" ht="70" hidden="1" customHeight="1">
      <c r="A22" s="13">
        <v>1</v>
      </c>
      <c r="B22" s="13" t="s">
        <v>133</v>
      </c>
      <c r="C22" s="13" t="s">
        <v>134</v>
      </c>
      <c r="D22" s="13"/>
      <c r="E22" s="13"/>
      <c r="F22" s="14" t="s">
        <v>30</v>
      </c>
      <c r="G22" s="14"/>
      <c r="H22" s="14" t="s">
        <v>135</v>
      </c>
      <c r="I22" s="14"/>
      <c r="J22" s="14" t="s">
        <v>136</v>
      </c>
      <c r="K22" s="14" t="s">
        <v>137</v>
      </c>
      <c r="L22" s="14"/>
      <c r="M22" s="15" t="str">
        <f t="shared" si="0"/>
        <v>完成</v>
      </c>
    </row>
    <row r="23" spans="1:13" ht="70" hidden="1" customHeight="1">
      <c r="A23" s="13">
        <v>1</v>
      </c>
      <c r="B23" s="13" t="s">
        <v>138</v>
      </c>
      <c r="C23" s="13" t="s">
        <v>139</v>
      </c>
      <c r="D23" s="13"/>
      <c r="E23" s="13"/>
      <c r="F23" s="14" t="s">
        <v>27</v>
      </c>
      <c r="G23" s="14" t="s">
        <v>60</v>
      </c>
      <c r="H23" s="14" t="s">
        <v>140</v>
      </c>
      <c r="I23" s="14"/>
      <c r="J23" s="14"/>
      <c r="K23" s="14" t="s">
        <v>57</v>
      </c>
      <c r="L23" s="14"/>
      <c r="M23" s="15" t="str">
        <f t="shared" si="0"/>
        <v>完成</v>
      </c>
    </row>
    <row r="24" spans="1:13" ht="70" hidden="1" customHeight="1">
      <c r="A24" s="13">
        <v>1</v>
      </c>
      <c r="B24" s="13" t="s">
        <v>141</v>
      </c>
      <c r="C24" s="13" t="s">
        <v>67</v>
      </c>
      <c r="D24" s="13" t="s">
        <v>142</v>
      </c>
      <c r="E24" s="13"/>
      <c r="F24" s="14" t="s">
        <v>33</v>
      </c>
      <c r="G24" s="14"/>
      <c r="H24" s="14" t="s">
        <v>143</v>
      </c>
      <c r="I24" s="14"/>
      <c r="J24" s="14"/>
      <c r="K24" s="14" t="s">
        <v>57</v>
      </c>
      <c r="L24" s="14"/>
      <c r="M24" s="15" t="str">
        <f t="shared" si="0"/>
        <v>完成</v>
      </c>
    </row>
    <row r="25" spans="1:13" ht="70" hidden="1" customHeight="1">
      <c r="A25" s="13">
        <v>1</v>
      </c>
      <c r="B25" s="13" t="s">
        <v>144</v>
      </c>
      <c r="C25" s="13" t="s">
        <v>145</v>
      </c>
      <c r="D25" s="13"/>
      <c r="E25" s="13"/>
      <c r="F25" s="14" t="s">
        <v>27</v>
      </c>
      <c r="G25" s="14" t="s">
        <v>86</v>
      </c>
      <c r="H25" s="14" t="s">
        <v>146</v>
      </c>
      <c r="I25" s="14"/>
      <c r="J25" s="14" t="s">
        <v>147</v>
      </c>
      <c r="K25" s="14" t="s">
        <v>57</v>
      </c>
      <c r="L25" s="14"/>
      <c r="M25" s="15" t="str">
        <f t="shared" si="0"/>
        <v>完成</v>
      </c>
    </row>
    <row r="26" spans="1:13" ht="70" hidden="1" customHeight="1">
      <c r="A26" s="13">
        <v>1</v>
      </c>
      <c r="B26" s="13" t="s">
        <v>148</v>
      </c>
      <c r="C26" s="13" t="s">
        <v>149</v>
      </c>
      <c r="D26" s="13"/>
      <c r="E26" s="13"/>
      <c r="F26" s="14" t="s">
        <v>33</v>
      </c>
      <c r="G26" s="14"/>
      <c r="H26" s="14" t="s">
        <v>150</v>
      </c>
      <c r="I26" s="14"/>
      <c r="J26" s="14"/>
      <c r="K26" s="14" t="s">
        <v>57</v>
      </c>
      <c r="L26" s="14"/>
      <c r="M26" s="15" t="str">
        <f t="shared" si="0"/>
        <v>完成</v>
      </c>
    </row>
    <row r="27" spans="1:13" ht="70" hidden="1" customHeight="1">
      <c r="A27" s="13">
        <v>1</v>
      </c>
      <c r="B27" s="13" t="s">
        <v>151</v>
      </c>
      <c r="C27" s="13" t="s">
        <v>152</v>
      </c>
      <c r="D27" s="13"/>
      <c r="E27" s="13"/>
      <c r="F27" s="14" t="s">
        <v>27</v>
      </c>
      <c r="G27" s="14" t="s">
        <v>60</v>
      </c>
      <c r="H27" s="14" t="s">
        <v>153</v>
      </c>
      <c r="I27" s="14"/>
      <c r="J27" s="14" t="s">
        <v>154</v>
      </c>
      <c r="K27" s="14" t="s">
        <v>57</v>
      </c>
      <c r="L27" s="14"/>
      <c r="M27" s="15" t="str">
        <f t="shared" si="0"/>
        <v>完成</v>
      </c>
    </row>
    <row r="28" spans="1:13" ht="70" hidden="1" customHeight="1">
      <c r="A28" s="13">
        <v>1</v>
      </c>
      <c r="B28" s="13" t="s">
        <v>155</v>
      </c>
      <c r="C28" s="13" t="s">
        <v>156</v>
      </c>
      <c r="D28" s="13"/>
      <c r="E28" s="13"/>
      <c r="F28" s="14" t="s">
        <v>27</v>
      </c>
      <c r="G28" s="14" t="s">
        <v>101</v>
      </c>
      <c r="H28" s="14" t="s">
        <v>157</v>
      </c>
      <c r="I28" s="14"/>
      <c r="J28" s="14" t="s">
        <v>158</v>
      </c>
      <c r="K28" s="14" t="s">
        <v>57</v>
      </c>
      <c r="L28" s="14"/>
      <c r="M28" s="15" t="str">
        <f t="shared" si="0"/>
        <v>完成</v>
      </c>
    </row>
    <row r="29" spans="1:13" ht="70" hidden="1" customHeight="1">
      <c r="A29" s="13">
        <v>1</v>
      </c>
      <c r="B29" s="13" t="s">
        <v>159</v>
      </c>
      <c r="C29" s="13" t="s">
        <v>160</v>
      </c>
      <c r="D29" s="13"/>
      <c r="E29" s="13"/>
      <c r="F29" s="14" t="s">
        <v>27</v>
      </c>
      <c r="G29" s="14" t="s">
        <v>91</v>
      </c>
      <c r="H29" s="14" t="s">
        <v>161</v>
      </c>
      <c r="I29" s="14"/>
      <c r="J29" s="14" t="s">
        <v>162</v>
      </c>
      <c r="K29" s="14" t="s">
        <v>57</v>
      </c>
      <c r="L29" s="14"/>
      <c r="M29" s="15" t="str">
        <f t="shared" si="0"/>
        <v>完成</v>
      </c>
    </row>
    <row r="30" spans="1:13" ht="70" hidden="1" customHeight="1">
      <c r="A30" s="13">
        <v>1</v>
      </c>
      <c r="B30" s="13" t="s">
        <v>163</v>
      </c>
      <c r="C30" s="13" t="s">
        <v>164</v>
      </c>
      <c r="D30" s="13"/>
      <c r="E30" s="13"/>
      <c r="F30" s="14" t="s">
        <v>35</v>
      </c>
      <c r="G30" s="14"/>
      <c r="H30" s="14" t="s">
        <v>165</v>
      </c>
      <c r="I30" s="14"/>
      <c r="J30" s="14"/>
      <c r="K30" s="14" t="s">
        <v>57</v>
      </c>
      <c r="L30" s="14"/>
      <c r="M30" s="15" t="str">
        <f t="shared" si="0"/>
        <v>完成</v>
      </c>
    </row>
    <row r="31" spans="1:13" ht="70" hidden="1" customHeight="1">
      <c r="A31" s="13">
        <v>1</v>
      </c>
      <c r="B31" s="13" t="s">
        <v>166</v>
      </c>
      <c r="C31" s="13" t="s">
        <v>167</v>
      </c>
      <c r="D31" s="13"/>
      <c r="E31" s="13" t="s">
        <v>60</v>
      </c>
      <c r="F31" s="14" t="s">
        <v>30</v>
      </c>
      <c r="G31" s="14"/>
      <c r="H31" s="14" t="s">
        <v>168</v>
      </c>
      <c r="I31" s="14"/>
      <c r="J31" s="14" t="s">
        <v>169</v>
      </c>
      <c r="K31" s="14" t="s">
        <v>57</v>
      </c>
      <c r="L31" s="14"/>
      <c r="M31" s="15" t="str">
        <f t="shared" si="0"/>
        <v>完成</v>
      </c>
    </row>
    <row r="32" spans="1:13" ht="70" hidden="1" customHeight="1">
      <c r="A32" s="13">
        <v>1</v>
      </c>
      <c r="B32" s="13" t="s">
        <v>170</v>
      </c>
      <c r="C32" s="13" t="s">
        <v>171</v>
      </c>
      <c r="D32" s="13"/>
      <c r="E32" s="13"/>
      <c r="F32" s="14" t="s">
        <v>27</v>
      </c>
      <c r="G32" s="14" t="s">
        <v>86</v>
      </c>
      <c r="H32" s="14" t="s">
        <v>172</v>
      </c>
      <c r="I32" s="14"/>
      <c r="J32" s="14" t="s">
        <v>173</v>
      </c>
      <c r="K32" s="14" t="s">
        <v>57</v>
      </c>
      <c r="L32" s="14"/>
      <c r="M32" s="15" t="str">
        <f t="shared" si="0"/>
        <v>完成</v>
      </c>
    </row>
    <row r="33" spans="1:13" ht="70" hidden="1" customHeight="1">
      <c r="A33" s="13">
        <v>1</v>
      </c>
      <c r="B33" s="13" t="s">
        <v>174</v>
      </c>
      <c r="C33" s="13" t="s">
        <v>67</v>
      </c>
      <c r="D33" s="13" t="s">
        <v>175</v>
      </c>
      <c r="E33" s="13"/>
      <c r="F33" s="14" t="s">
        <v>27</v>
      </c>
      <c r="G33" s="14" t="s">
        <v>176</v>
      </c>
      <c r="H33" s="14" t="s">
        <v>177</v>
      </c>
      <c r="I33" s="14"/>
      <c r="J33" s="14"/>
      <c r="K33" s="14" t="s">
        <v>57</v>
      </c>
      <c r="L33" s="14"/>
      <c r="M33" s="15" t="str">
        <f t="shared" si="0"/>
        <v>完成</v>
      </c>
    </row>
    <row r="34" spans="1:13" ht="70" hidden="1" customHeight="1">
      <c r="A34" s="13">
        <v>1</v>
      </c>
      <c r="B34" s="13" t="s">
        <v>178</v>
      </c>
      <c r="C34" s="13" t="s">
        <v>179</v>
      </c>
      <c r="D34" s="13"/>
      <c r="E34" s="13"/>
      <c r="F34" s="14" t="s">
        <v>30</v>
      </c>
      <c r="G34" s="14"/>
      <c r="H34" s="14" t="s">
        <v>180</v>
      </c>
      <c r="I34" s="14"/>
      <c r="J34" s="14" t="s">
        <v>181</v>
      </c>
      <c r="K34" s="14" t="s">
        <v>57</v>
      </c>
      <c r="L34" s="14"/>
      <c r="M34" s="15" t="str">
        <f t="shared" ref="M34:M65" si="1">IF(F34="","待填写",IF(H34="","缺 evidence_quote",IF(K34="","缺 horizon",IF(AND(LEFT(F34,1)="1",G34=""),"缺 target_intent",IF(AND(LEFT(F34,1)&lt;&gt;"1",G34&lt;&gt;""),"非 in_scope 请清空 target",IF(OR(ISNUMBER(SEARCH(H34,C34)),ISNUMBER(SEARCH(H34,D34))),"完成","evidence 不在上下文"))))))</f>
        <v>完成</v>
      </c>
    </row>
    <row r="35" spans="1:13" ht="70" hidden="1" customHeight="1">
      <c r="A35" s="13">
        <v>1</v>
      </c>
      <c r="B35" s="13" t="s">
        <v>182</v>
      </c>
      <c r="C35" s="13" t="s">
        <v>183</v>
      </c>
      <c r="D35" s="13"/>
      <c r="E35" s="13"/>
      <c r="F35" s="14" t="s">
        <v>33</v>
      </c>
      <c r="G35" s="14"/>
      <c r="H35" s="14" t="s">
        <v>184</v>
      </c>
      <c r="I35" s="14"/>
      <c r="J35" s="14"/>
      <c r="K35" s="14" t="s">
        <v>137</v>
      </c>
      <c r="L35" s="14"/>
      <c r="M35" s="15" t="str">
        <f t="shared" si="1"/>
        <v>完成</v>
      </c>
    </row>
    <row r="36" spans="1:13" ht="70" hidden="1" customHeight="1">
      <c r="A36" s="13">
        <v>1</v>
      </c>
      <c r="B36" s="13" t="s">
        <v>185</v>
      </c>
      <c r="C36" s="13" t="s">
        <v>186</v>
      </c>
      <c r="D36" s="13"/>
      <c r="E36" s="13"/>
      <c r="F36" s="14" t="s">
        <v>27</v>
      </c>
      <c r="G36" s="14" t="s">
        <v>78</v>
      </c>
      <c r="H36" s="14" t="s">
        <v>187</v>
      </c>
      <c r="I36" s="14"/>
      <c r="J36" s="14" t="s">
        <v>80</v>
      </c>
      <c r="K36" s="14" t="s">
        <v>57</v>
      </c>
      <c r="L36" s="14"/>
      <c r="M36" s="15" t="str">
        <f t="shared" si="1"/>
        <v>完成</v>
      </c>
    </row>
    <row r="37" spans="1:13" ht="70" hidden="1" customHeight="1">
      <c r="A37" s="13">
        <v>1</v>
      </c>
      <c r="B37" s="13" t="s">
        <v>188</v>
      </c>
      <c r="C37" s="13" t="s">
        <v>67</v>
      </c>
      <c r="D37" s="13" t="s">
        <v>189</v>
      </c>
      <c r="E37" s="13"/>
      <c r="F37" s="14" t="s">
        <v>27</v>
      </c>
      <c r="G37" s="14" t="s">
        <v>60</v>
      </c>
      <c r="H37" s="14" t="s">
        <v>190</v>
      </c>
      <c r="I37" s="14"/>
      <c r="J37" s="14" t="s">
        <v>191</v>
      </c>
      <c r="K37" s="14" t="s">
        <v>57</v>
      </c>
      <c r="L37" s="14"/>
      <c r="M37" s="15" t="str">
        <f t="shared" si="1"/>
        <v>完成</v>
      </c>
    </row>
    <row r="38" spans="1:13" ht="70" hidden="1" customHeight="1">
      <c r="A38" s="13">
        <v>1</v>
      </c>
      <c r="B38" s="13" t="s">
        <v>192</v>
      </c>
      <c r="C38" s="13" t="s">
        <v>193</v>
      </c>
      <c r="D38" s="13"/>
      <c r="E38" s="13"/>
      <c r="F38" s="14" t="s">
        <v>27</v>
      </c>
      <c r="G38" s="14" t="s">
        <v>60</v>
      </c>
      <c r="H38" s="14" t="s">
        <v>194</v>
      </c>
      <c r="I38" s="14"/>
      <c r="J38" s="14"/>
      <c r="K38" s="14" t="s">
        <v>57</v>
      </c>
      <c r="L38" s="14"/>
      <c r="M38" s="15" t="str">
        <f t="shared" si="1"/>
        <v>完成</v>
      </c>
    </row>
    <row r="39" spans="1:13" ht="70" hidden="1" customHeight="1">
      <c r="A39" s="13">
        <v>1</v>
      </c>
      <c r="B39" s="13" t="s">
        <v>195</v>
      </c>
      <c r="C39" s="13" t="s">
        <v>196</v>
      </c>
      <c r="D39" s="13"/>
      <c r="E39" s="13"/>
      <c r="F39" s="14" t="s">
        <v>30</v>
      </c>
      <c r="G39" s="14"/>
      <c r="H39" s="14" t="s">
        <v>197</v>
      </c>
      <c r="I39" s="14"/>
      <c r="J39" s="14" t="s">
        <v>198</v>
      </c>
      <c r="K39" s="14" t="s">
        <v>57</v>
      </c>
      <c r="L39" s="14"/>
      <c r="M39" s="15" t="str">
        <f t="shared" si="1"/>
        <v>完成</v>
      </c>
    </row>
    <row r="40" spans="1:13" ht="70" hidden="1" customHeight="1">
      <c r="A40" s="13">
        <v>1</v>
      </c>
      <c r="B40" s="13" t="s">
        <v>199</v>
      </c>
      <c r="C40" s="13" t="s">
        <v>200</v>
      </c>
      <c r="D40" s="13"/>
      <c r="E40" s="13"/>
      <c r="F40" s="14" t="s">
        <v>27</v>
      </c>
      <c r="G40" s="14" t="s">
        <v>116</v>
      </c>
      <c r="H40" s="14" t="s">
        <v>201</v>
      </c>
      <c r="I40" s="14"/>
      <c r="J40" s="14" t="s">
        <v>202</v>
      </c>
      <c r="K40" s="14" t="s">
        <v>57</v>
      </c>
      <c r="L40" s="14"/>
      <c r="M40" s="15" t="str">
        <f t="shared" si="1"/>
        <v>完成</v>
      </c>
    </row>
    <row r="41" spans="1:13" ht="70" hidden="1" customHeight="1">
      <c r="A41" s="13">
        <v>1</v>
      </c>
      <c r="B41" s="13" t="s">
        <v>203</v>
      </c>
      <c r="C41" s="13" t="s">
        <v>204</v>
      </c>
      <c r="D41" s="13"/>
      <c r="E41" s="13"/>
      <c r="F41" s="14" t="s">
        <v>27</v>
      </c>
      <c r="G41" s="14" t="s">
        <v>54</v>
      </c>
      <c r="H41" s="14" t="s">
        <v>205</v>
      </c>
      <c r="I41" s="14"/>
      <c r="J41" s="14"/>
      <c r="K41" s="14" t="s">
        <v>57</v>
      </c>
      <c r="L41" s="14"/>
      <c r="M41" s="15" t="str">
        <f t="shared" si="1"/>
        <v>完成</v>
      </c>
    </row>
    <row r="42" spans="1:13" ht="70" hidden="1" customHeight="1">
      <c r="A42" s="13">
        <v>2</v>
      </c>
      <c r="B42" s="13" t="s">
        <v>206</v>
      </c>
      <c r="C42" s="13" t="s">
        <v>207</v>
      </c>
      <c r="D42" s="13"/>
      <c r="E42" s="13"/>
      <c r="F42" s="14" t="s">
        <v>27</v>
      </c>
      <c r="G42" s="14" t="s">
        <v>54</v>
      </c>
      <c r="H42" s="14" t="s">
        <v>208</v>
      </c>
      <c r="I42" s="14"/>
      <c r="J42" s="14"/>
      <c r="K42" s="14" t="s">
        <v>57</v>
      </c>
      <c r="L42" s="14"/>
      <c r="M42" s="15" t="str">
        <f t="shared" si="1"/>
        <v>完成</v>
      </c>
    </row>
    <row r="43" spans="1:13" ht="70" hidden="1" customHeight="1">
      <c r="A43" s="13">
        <v>2</v>
      </c>
      <c r="B43" s="13" t="s">
        <v>209</v>
      </c>
      <c r="C43" s="13" t="s">
        <v>210</v>
      </c>
      <c r="D43" s="13" t="s">
        <v>211</v>
      </c>
      <c r="E43" s="13"/>
      <c r="F43" s="14" t="s">
        <v>35</v>
      </c>
      <c r="G43" s="14"/>
      <c r="H43" s="14" t="s">
        <v>212</v>
      </c>
      <c r="I43" s="14"/>
      <c r="J43" s="14"/>
      <c r="K43" s="14" t="s">
        <v>57</v>
      </c>
      <c r="L43" s="14"/>
      <c r="M43" s="15" t="str">
        <f t="shared" si="1"/>
        <v>完成</v>
      </c>
    </row>
    <row r="44" spans="1:13" ht="70" hidden="1" customHeight="1">
      <c r="A44" s="13">
        <v>2</v>
      </c>
      <c r="B44" s="13" t="s">
        <v>213</v>
      </c>
      <c r="C44" s="13" t="s">
        <v>214</v>
      </c>
      <c r="D44" s="13"/>
      <c r="E44" s="13"/>
      <c r="F44" s="14" t="s">
        <v>27</v>
      </c>
      <c r="G44" s="14" t="s">
        <v>176</v>
      </c>
      <c r="H44" s="14" t="s">
        <v>215</v>
      </c>
      <c r="I44" s="14"/>
      <c r="J44" s="14"/>
      <c r="K44" s="14" t="s">
        <v>57</v>
      </c>
      <c r="L44" s="14"/>
      <c r="M44" s="15" t="str">
        <f t="shared" si="1"/>
        <v>完成</v>
      </c>
    </row>
    <row r="45" spans="1:13" ht="70" hidden="1" customHeight="1">
      <c r="A45" s="13">
        <v>2</v>
      </c>
      <c r="B45" s="13" t="s">
        <v>216</v>
      </c>
      <c r="C45" s="13" t="s">
        <v>217</v>
      </c>
      <c r="D45" s="13"/>
      <c r="E45" s="13"/>
      <c r="F45" s="14" t="s">
        <v>27</v>
      </c>
      <c r="G45" s="14" t="s">
        <v>101</v>
      </c>
      <c r="H45" s="14" t="s">
        <v>218</v>
      </c>
      <c r="I45" s="14"/>
      <c r="J45" s="14" t="s">
        <v>219</v>
      </c>
      <c r="K45" s="14" t="s">
        <v>57</v>
      </c>
      <c r="L45" s="14"/>
      <c r="M45" s="15" t="str">
        <f t="shared" si="1"/>
        <v>完成</v>
      </c>
    </row>
    <row r="46" spans="1:13" ht="70" hidden="1" customHeight="1">
      <c r="A46" s="13">
        <v>2</v>
      </c>
      <c r="B46" s="13" t="s">
        <v>220</v>
      </c>
      <c r="C46" s="13" t="s">
        <v>221</v>
      </c>
      <c r="D46" s="13"/>
      <c r="E46" s="13"/>
      <c r="F46" s="14" t="s">
        <v>35</v>
      </c>
      <c r="G46" s="14"/>
      <c r="H46" s="14" t="s">
        <v>222</v>
      </c>
      <c r="I46" s="14"/>
      <c r="J46" s="14" t="s">
        <v>223</v>
      </c>
      <c r="K46" s="14" t="s">
        <v>57</v>
      </c>
      <c r="L46" s="14"/>
      <c r="M46" s="15" t="str">
        <f t="shared" si="1"/>
        <v>完成</v>
      </c>
    </row>
    <row r="47" spans="1:13" ht="70" hidden="1" customHeight="1">
      <c r="A47" s="13">
        <v>2</v>
      </c>
      <c r="B47" s="13" t="s">
        <v>224</v>
      </c>
      <c r="C47" s="13" t="s">
        <v>67</v>
      </c>
      <c r="D47" s="13" t="s">
        <v>225</v>
      </c>
      <c r="E47" s="13"/>
      <c r="F47" s="14" t="s">
        <v>27</v>
      </c>
      <c r="G47" s="14" t="s">
        <v>116</v>
      </c>
      <c r="H47" s="14" t="s">
        <v>226</v>
      </c>
      <c r="I47" s="14" t="s">
        <v>227</v>
      </c>
      <c r="J47" s="14" t="s">
        <v>228</v>
      </c>
      <c r="K47" s="14" t="s">
        <v>57</v>
      </c>
      <c r="L47" s="14"/>
      <c r="M47" s="15" t="str">
        <f t="shared" si="1"/>
        <v>完成</v>
      </c>
    </row>
    <row r="48" spans="1:13" ht="70" hidden="1" customHeight="1">
      <c r="A48" s="13">
        <v>2</v>
      </c>
      <c r="B48" s="13" t="s">
        <v>229</v>
      </c>
      <c r="C48" s="13" t="s">
        <v>67</v>
      </c>
      <c r="D48" s="13" t="s">
        <v>230</v>
      </c>
      <c r="E48" s="13"/>
      <c r="F48" s="14" t="s">
        <v>30</v>
      </c>
      <c r="G48" s="14"/>
      <c r="H48" s="14" t="s">
        <v>231</v>
      </c>
      <c r="I48" s="14"/>
      <c r="J48" s="14"/>
      <c r="K48" s="14" t="s">
        <v>57</v>
      </c>
      <c r="L48" s="14"/>
      <c r="M48" s="15" t="str">
        <f t="shared" si="1"/>
        <v>完成</v>
      </c>
    </row>
    <row r="49" spans="1:13" ht="70" hidden="1" customHeight="1">
      <c r="A49" s="13">
        <v>2</v>
      </c>
      <c r="B49" s="13" t="s">
        <v>232</v>
      </c>
      <c r="C49" s="13" t="s">
        <v>233</v>
      </c>
      <c r="D49" s="13"/>
      <c r="E49" s="13"/>
      <c r="F49" s="14" t="s">
        <v>27</v>
      </c>
      <c r="G49" s="14" t="s">
        <v>116</v>
      </c>
      <c r="H49" s="14" t="s">
        <v>234</v>
      </c>
      <c r="I49" s="14"/>
      <c r="J49" s="14" t="s">
        <v>235</v>
      </c>
      <c r="K49" s="14" t="s">
        <v>57</v>
      </c>
      <c r="L49" s="14"/>
      <c r="M49" s="15" t="str">
        <f t="shared" si="1"/>
        <v>完成</v>
      </c>
    </row>
    <row r="50" spans="1:13" ht="70" hidden="1" customHeight="1">
      <c r="A50" s="13">
        <v>2</v>
      </c>
      <c r="B50" s="13" t="s">
        <v>236</v>
      </c>
      <c r="C50" s="13" t="s">
        <v>237</v>
      </c>
      <c r="D50" s="13"/>
      <c r="E50" s="13"/>
      <c r="F50" s="14" t="s">
        <v>27</v>
      </c>
      <c r="G50" s="14" t="s">
        <v>176</v>
      </c>
      <c r="H50" s="14" t="s">
        <v>238</v>
      </c>
      <c r="I50" s="14" t="s">
        <v>239</v>
      </c>
      <c r="J50" s="14"/>
      <c r="K50" s="14" t="s">
        <v>57</v>
      </c>
      <c r="L50" s="14"/>
      <c r="M50" s="15" t="str">
        <f t="shared" si="1"/>
        <v>完成</v>
      </c>
    </row>
    <row r="51" spans="1:13" ht="70" hidden="1" customHeight="1">
      <c r="A51" s="13">
        <v>2</v>
      </c>
      <c r="B51" s="13" t="s">
        <v>240</v>
      </c>
      <c r="C51" s="13" t="s">
        <v>241</v>
      </c>
      <c r="D51" s="13"/>
      <c r="E51" s="13"/>
      <c r="F51" s="14" t="s">
        <v>27</v>
      </c>
      <c r="G51" s="14" t="s">
        <v>86</v>
      </c>
      <c r="H51" s="14" t="s">
        <v>242</v>
      </c>
      <c r="I51" s="14"/>
      <c r="J51" s="14" t="s">
        <v>243</v>
      </c>
      <c r="K51" s="14" t="s">
        <v>57</v>
      </c>
      <c r="L51" s="14"/>
      <c r="M51" s="15" t="str">
        <f t="shared" si="1"/>
        <v>完成</v>
      </c>
    </row>
    <row r="52" spans="1:13" ht="70" hidden="1" customHeight="1">
      <c r="A52" s="13">
        <v>2</v>
      </c>
      <c r="B52" s="13" t="s">
        <v>244</v>
      </c>
      <c r="C52" s="13" t="s">
        <v>245</v>
      </c>
      <c r="D52" s="13"/>
      <c r="E52" s="13"/>
      <c r="F52" s="14" t="s">
        <v>27</v>
      </c>
      <c r="G52" s="14" t="s">
        <v>176</v>
      </c>
      <c r="H52" s="14" t="s">
        <v>246</v>
      </c>
      <c r="I52" s="14"/>
      <c r="J52" s="14" t="s">
        <v>247</v>
      </c>
      <c r="K52" s="14" t="s">
        <v>57</v>
      </c>
      <c r="L52" s="14"/>
      <c r="M52" s="15" t="str">
        <f t="shared" si="1"/>
        <v>完成</v>
      </c>
    </row>
    <row r="53" spans="1:13" ht="70" hidden="1" customHeight="1">
      <c r="A53" s="13">
        <v>2</v>
      </c>
      <c r="B53" s="13" t="s">
        <v>248</v>
      </c>
      <c r="C53" s="13" t="s">
        <v>249</v>
      </c>
      <c r="D53" s="13"/>
      <c r="E53" s="13"/>
      <c r="F53" s="14" t="s">
        <v>27</v>
      </c>
      <c r="G53" s="14" t="s">
        <v>54</v>
      </c>
      <c r="H53" s="14" t="s">
        <v>250</v>
      </c>
      <c r="I53" s="14"/>
      <c r="J53" s="14"/>
      <c r="K53" s="14" t="s">
        <v>57</v>
      </c>
      <c r="L53" s="14"/>
      <c r="M53" s="15" t="str">
        <f t="shared" si="1"/>
        <v>完成</v>
      </c>
    </row>
    <row r="54" spans="1:13" ht="70" hidden="1" customHeight="1">
      <c r="A54" s="13">
        <v>2</v>
      </c>
      <c r="B54" s="13" t="s">
        <v>251</v>
      </c>
      <c r="C54" s="13" t="s">
        <v>252</v>
      </c>
      <c r="D54" s="13"/>
      <c r="E54" s="13"/>
      <c r="F54" s="14" t="s">
        <v>27</v>
      </c>
      <c r="G54" s="14" t="s">
        <v>86</v>
      </c>
      <c r="H54" s="14" t="s">
        <v>253</v>
      </c>
      <c r="I54" s="14"/>
      <c r="J54" s="14" t="s">
        <v>254</v>
      </c>
      <c r="K54" s="14" t="s">
        <v>57</v>
      </c>
      <c r="L54" s="14"/>
      <c r="M54" s="15" t="str">
        <f t="shared" si="1"/>
        <v>完成</v>
      </c>
    </row>
    <row r="55" spans="1:13" ht="70" hidden="1" customHeight="1">
      <c r="A55" s="13">
        <v>2</v>
      </c>
      <c r="B55" s="13" t="s">
        <v>255</v>
      </c>
      <c r="C55" s="13" t="s">
        <v>256</v>
      </c>
      <c r="D55" s="13"/>
      <c r="E55" s="13"/>
      <c r="F55" s="14" t="s">
        <v>33</v>
      </c>
      <c r="G55" s="14"/>
      <c r="H55" s="14" t="s">
        <v>257</v>
      </c>
      <c r="I55" s="14"/>
      <c r="J55" s="14"/>
      <c r="K55" s="14" t="s">
        <v>57</v>
      </c>
      <c r="L55" s="14"/>
      <c r="M55" s="15" t="str">
        <f t="shared" si="1"/>
        <v>完成</v>
      </c>
    </row>
    <row r="56" spans="1:13" ht="70" hidden="1" customHeight="1">
      <c r="A56" s="13">
        <v>2</v>
      </c>
      <c r="B56" s="13" t="s">
        <v>258</v>
      </c>
      <c r="C56" s="13" t="s">
        <v>259</v>
      </c>
      <c r="D56" s="13"/>
      <c r="E56" s="13"/>
      <c r="F56" s="14" t="s">
        <v>27</v>
      </c>
      <c r="G56" s="14" t="s">
        <v>91</v>
      </c>
      <c r="H56" s="14" t="s">
        <v>260</v>
      </c>
      <c r="I56" s="14" t="s">
        <v>261</v>
      </c>
      <c r="J56" s="14" t="s">
        <v>94</v>
      </c>
      <c r="K56" s="14" t="s">
        <v>57</v>
      </c>
      <c r="L56" s="14"/>
      <c r="M56" s="15" t="str">
        <f t="shared" si="1"/>
        <v>完成</v>
      </c>
    </row>
    <row r="57" spans="1:13" ht="70" hidden="1" customHeight="1">
      <c r="A57" s="13">
        <v>2</v>
      </c>
      <c r="B57" s="13" t="s">
        <v>262</v>
      </c>
      <c r="C57" s="13" t="s">
        <v>67</v>
      </c>
      <c r="D57" s="13" t="s">
        <v>211</v>
      </c>
      <c r="E57" s="13"/>
      <c r="F57" s="14" t="s">
        <v>35</v>
      </c>
      <c r="G57" s="14"/>
      <c r="H57" s="14" t="s">
        <v>212</v>
      </c>
      <c r="I57" s="14"/>
      <c r="J57" s="14"/>
      <c r="K57" s="14" t="s">
        <v>57</v>
      </c>
      <c r="L57" s="14"/>
      <c r="M57" s="15" t="str">
        <f t="shared" si="1"/>
        <v>完成</v>
      </c>
    </row>
    <row r="58" spans="1:13" ht="70" hidden="1" customHeight="1">
      <c r="A58" s="13">
        <v>2</v>
      </c>
      <c r="B58" s="13" t="s">
        <v>263</v>
      </c>
      <c r="C58" s="13" t="s">
        <v>264</v>
      </c>
      <c r="D58" s="13"/>
      <c r="E58" s="13"/>
      <c r="F58" s="14" t="s">
        <v>27</v>
      </c>
      <c r="G58" s="14" t="s">
        <v>176</v>
      </c>
      <c r="H58" s="14" t="s">
        <v>265</v>
      </c>
      <c r="I58" s="14"/>
      <c r="J58" s="14" t="s">
        <v>266</v>
      </c>
      <c r="K58" s="14" t="s">
        <v>57</v>
      </c>
      <c r="L58" s="14"/>
      <c r="M58" s="15" t="str">
        <f t="shared" si="1"/>
        <v>完成</v>
      </c>
    </row>
    <row r="59" spans="1:13" ht="70" hidden="1" customHeight="1">
      <c r="A59" s="13">
        <v>2</v>
      </c>
      <c r="B59" s="13" t="s">
        <v>267</v>
      </c>
      <c r="C59" s="13" t="s">
        <v>268</v>
      </c>
      <c r="D59" s="13"/>
      <c r="E59" s="13"/>
      <c r="F59" s="14" t="s">
        <v>30</v>
      </c>
      <c r="G59" s="14"/>
      <c r="H59" s="14" t="s">
        <v>269</v>
      </c>
      <c r="I59" s="14"/>
      <c r="J59" s="14" t="s">
        <v>270</v>
      </c>
      <c r="K59" s="14" t="s">
        <v>57</v>
      </c>
      <c r="L59" s="14"/>
      <c r="M59" s="15" t="str">
        <f t="shared" si="1"/>
        <v>完成</v>
      </c>
    </row>
    <row r="60" spans="1:13" ht="70" hidden="1" customHeight="1">
      <c r="A60" s="13">
        <v>2</v>
      </c>
      <c r="B60" s="13" t="s">
        <v>271</v>
      </c>
      <c r="C60" s="13" t="s">
        <v>272</v>
      </c>
      <c r="D60" s="13"/>
      <c r="E60" s="13"/>
      <c r="F60" s="14" t="s">
        <v>27</v>
      </c>
      <c r="G60" s="14" t="s">
        <v>78</v>
      </c>
      <c r="H60" s="14" t="s">
        <v>273</v>
      </c>
      <c r="I60" s="14"/>
      <c r="J60" s="14" t="s">
        <v>80</v>
      </c>
      <c r="K60" s="14" t="s">
        <v>57</v>
      </c>
      <c r="L60" s="14"/>
      <c r="M60" s="15" t="str">
        <f t="shared" si="1"/>
        <v>完成</v>
      </c>
    </row>
    <row r="61" spans="1:13" ht="70" hidden="1" customHeight="1">
      <c r="A61" s="13">
        <v>2</v>
      </c>
      <c r="B61" s="13" t="s">
        <v>274</v>
      </c>
      <c r="C61" s="13" t="s">
        <v>275</v>
      </c>
      <c r="D61" s="13"/>
      <c r="E61" s="13"/>
      <c r="F61" s="14" t="s">
        <v>30</v>
      </c>
      <c r="G61" s="14"/>
      <c r="H61" s="14" t="s">
        <v>276</v>
      </c>
      <c r="I61" s="14"/>
      <c r="J61" s="14" t="s">
        <v>277</v>
      </c>
      <c r="K61" s="14" t="s">
        <v>57</v>
      </c>
      <c r="L61" s="14"/>
      <c r="M61" s="15" t="str">
        <f t="shared" si="1"/>
        <v>完成</v>
      </c>
    </row>
    <row r="62" spans="1:13" ht="70" hidden="1" customHeight="1">
      <c r="A62" s="13">
        <v>2</v>
      </c>
      <c r="B62" s="13" t="s">
        <v>278</v>
      </c>
      <c r="C62" s="13" t="s">
        <v>279</v>
      </c>
      <c r="D62" s="13"/>
      <c r="E62" s="13"/>
      <c r="F62" s="14" t="s">
        <v>30</v>
      </c>
      <c r="G62" s="14"/>
      <c r="H62" s="14" t="s">
        <v>280</v>
      </c>
      <c r="I62" s="14"/>
      <c r="J62" s="14" t="s">
        <v>136</v>
      </c>
      <c r="K62" s="14" t="s">
        <v>57</v>
      </c>
      <c r="L62" s="14"/>
      <c r="M62" s="15" t="str">
        <f t="shared" si="1"/>
        <v>完成</v>
      </c>
    </row>
    <row r="63" spans="1:13" ht="70" hidden="1" customHeight="1">
      <c r="A63" s="13">
        <v>2</v>
      </c>
      <c r="B63" s="13" t="s">
        <v>281</v>
      </c>
      <c r="C63" s="13" t="s">
        <v>282</v>
      </c>
      <c r="D63" s="13"/>
      <c r="E63" s="13"/>
      <c r="F63" s="14" t="s">
        <v>35</v>
      </c>
      <c r="G63" s="14"/>
      <c r="H63" s="14" t="s">
        <v>283</v>
      </c>
      <c r="I63" s="14" t="s">
        <v>284</v>
      </c>
      <c r="J63" s="14"/>
      <c r="K63" s="14" t="s">
        <v>57</v>
      </c>
      <c r="L63" s="14"/>
      <c r="M63" s="15" t="str">
        <f t="shared" si="1"/>
        <v>完成</v>
      </c>
    </row>
    <row r="64" spans="1:13" ht="70" hidden="1" customHeight="1">
      <c r="A64" s="13">
        <v>2</v>
      </c>
      <c r="B64" s="13" t="s">
        <v>285</v>
      </c>
      <c r="C64" s="13" t="s">
        <v>286</v>
      </c>
      <c r="D64" s="13" t="s">
        <v>287</v>
      </c>
      <c r="E64" s="13"/>
      <c r="F64" s="14" t="s">
        <v>30</v>
      </c>
      <c r="G64" s="14"/>
      <c r="H64" s="14" t="s">
        <v>288</v>
      </c>
      <c r="I64" s="14"/>
      <c r="J64" s="14" t="s">
        <v>289</v>
      </c>
      <c r="K64" s="14" t="s">
        <v>57</v>
      </c>
      <c r="L64" s="14"/>
      <c r="M64" s="15" t="str">
        <f t="shared" si="1"/>
        <v>完成</v>
      </c>
    </row>
    <row r="65" spans="1:13" ht="70" hidden="1" customHeight="1">
      <c r="A65" s="13">
        <v>2</v>
      </c>
      <c r="B65" s="13" t="s">
        <v>290</v>
      </c>
      <c r="C65" s="13" t="s">
        <v>67</v>
      </c>
      <c r="D65" s="13" t="s">
        <v>291</v>
      </c>
      <c r="E65" s="13"/>
      <c r="F65" s="14" t="s">
        <v>30</v>
      </c>
      <c r="G65" s="14"/>
      <c r="H65" s="14" t="s">
        <v>292</v>
      </c>
      <c r="I65" s="14" t="s">
        <v>56</v>
      </c>
      <c r="J65" s="14" t="s">
        <v>293</v>
      </c>
      <c r="K65" s="14" t="s">
        <v>57</v>
      </c>
      <c r="L65" s="14"/>
      <c r="M65" s="15" t="str">
        <f t="shared" si="1"/>
        <v>完成</v>
      </c>
    </row>
    <row r="66" spans="1:13" ht="70" hidden="1" customHeight="1">
      <c r="A66" s="13">
        <v>2</v>
      </c>
      <c r="B66" s="13" t="s">
        <v>294</v>
      </c>
      <c r="C66" s="13" t="s">
        <v>295</v>
      </c>
      <c r="D66" s="13"/>
      <c r="E66" s="13"/>
      <c r="F66" s="14" t="s">
        <v>27</v>
      </c>
      <c r="G66" s="14" t="s">
        <v>176</v>
      </c>
      <c r="H66" s="14" t="s">
        <v>296</v>
      </c>
      <c r="I66" s="14"/>
      <c r="J66" s="14" t="s">
        <v>297</v>
      </c>
      <c r="K66" s="14" t="s">
        <v>57</v>
      </c>
      <c r="L66" s="14"/>
      <c r="M66" s="15" t="str">
        <f t="shared" ref="M66:M97" si="2">IF(F66="","待填写",IF(H66="","缺 evidence_quote",IF(K66="","缺 horizon",IF(AND(LEFT(F66,1)="1",G66=""),"缺 target_intent",IF(AND(LEFT(F66,1)&lt;&gt;"1",G66&lt;&gt;""),"非 in_scope 请清空 target",IF(OR(ISNUMBER(SEARCH(H66,C66)),ISNUMBER(SEARCH(H66,D66))),"完成","evidence 不在上下文"))))))</f>
        <v>完成</v>
      </c>
    </row>
    <row r="67" spans="1:13" ht="70" hidden="1" customHeight="1">
      <c r="A67" s="13">
        <v>2</v>
      </c>
      <c r="B67" s="13" t="s">
        <v>298</v>
      </c>
      <c r="C67" s="13" t="s">
        <v>67</v>
      </c>
      <c r="D67" s="13" t="s">
        <v>299</v>
      </c>
      <c r="E67" s="13"/>
      <c r="F67" s="14" t="s">
        <v>30</v>
      </c>
      <c r="G67" s="14"/>
      <c r="H67" s="14" t="s">
        <v>300</v>
      </c>
      <c r="I67" s="14"/>
      <c r="J67" s="14" t="s">
        <v>191</v>
      </c>
      <c r="K67" s="14" t="s">
        <v>57</v>
      </c>
      <c r="L67" s="14"/>
      <c r="M67" s="15" t="str">
        <f t="shared" si="2"/>
        <v>完成</v>
      </c>
    </row>
    <row r="68" spans="1:13" ht="70" hidden="1" customHeight="1">
      <c r="A68" s="13">
        <v>2</v>
      </c>
      <c r="B68" s="13" t="s">
        <v>301</v>
      </c>
      <c r="C68" s="13" t="s">
        <v>286</v>
      </c>
      <c r="D68" s="13" t="s">
        <v>142</v>
      </c>
      <c r="E68" s="13"/>
      <c r="F68" s="14" t="s">
        <v>33</v>
      </c>
      <c r="G68" s="14"/>
      <c r="H68" s="14" t="s">
        <v>143</v>
      </c>
      <c r="I68" s="14"/>
      <c r="J68" s="14"/>
      <c r="K68" s="14" t="s">
        <v>57</v>
      </c>
      <c r="L68" s="14"/>
      <c r="M68" s="15" t="str">
        <f t="shared" si="2"/>
        <v>完成</v>
      </c>
    </row>
    <row r="69" spans="1:13" ht="70" hidden="1" customHeight="1">
      <c r="A69" s="13">
        <v>2</v>
      </c>
      <c r="B69" s="13" t="s">
        <v>302</v>
      </c>
      <c r="C69" s="13" t="s">
        <v>303</v>
      </c>
      <c r="D69" s="13"/>
      <c r="E69" s="13"/>
      <c r="F69" s="14" t="s">
        <v>27</v>
      </c>
      <c r="G69" s="14" t="s">
        <v>101</v>
      </c>
      <c r="H69" s="14" t="s">
        <v>304</v>
      </c>
      <c r="I69" s="14"/>
      <c r="J69" s="14" t="s">
        <v>305</v>
      </c>
      <c r="K69" s="14" t="s">
        <v>57</v>
      </c>
      <c r="L69" s="14"/>
      <c r="M69" s="15" t="str">
        <f t="shared" si="2"/>
        <v>完成</v>
      </c>
    </row>
    <row r="70" spans="1:13" ht="70" hidden="1" customHeight="1">
      <c r="A70" s="13">
        <v>2</v>
      </c>
      <c r="B70" s="13" t="s">
        <v>306</v>
      </c>
      <c r="C70" s="13" t="s">
        <v>210</v>
      </c>
      <c r="D70" s="13" t="s">
        <v>307</v>
      </c>
      <c r="E70" s="13"/>
      <c r="F70" s="14" t="s">
        <v>27</v>
      </c>
      <c r="G70" s="14" t="s">
        <v>60</v>
      </c>
      <c r="H70" s="14" t="s">
        <v>308</v>
      </c>
      <c r="I70" s="14"/>
      <c r="J70" s="14"/>
      <c r="K70" s="14" t="s">
        <v>57</v>
      </c>
      <c r="L70" s="14"/>
      <c r="M70" s="15" t="str">
        <f t="shared" si="2"/>
        <v>完成</v>
      </c>
    </row>
    <row r="71" spans="1:13" ht="70" hidden="1" customHeight="1">
      <c r="A71" s="13">
        <v>2</v>
      </c>
      <c r="B71" s="13" t="s">
        <v>309</v>
      </c>
      <c r="C71" s="13" t="s">
        <v>310</v>
      </c>
      <c r="D71" s="13"/>
      <c r="E71" s="13"/>
      <c r="F71" s="14" t="s">
        <v>27</v>
      </c>
      <c r="G71" s="14" t="s">
        <v>176</v>
      </c>
      <c r="H71" s="14" t="s">
        <v>311</v>
      </c>
      <c r="I71" s="14"/>
      <c r="J71" s="14"/>
      <c r="K71" s="14" t="s">
        <v>57</v>
      </c>
      <c r="L71" s="14"/>
      <c r="M71" s="15" t="str">
        <f t="shared" si="2"/>
        <v>完成</v>
      </c>
    </row>
    <row r="72" spans="1:13" ht="70" hidden="1" customHeight="1">
      <c r="A72" s="13">
        <v>2</v>
      </c>
      <c r="B72" s="13" t="s">
        <v>312</v>
      </c>
      <c r="C72" s="13" t="s">
        <v>313</v>
      </c>
      <c r="D72" s="13"/>
      <c r="E72" s="13"/>
      <c r="F72" s="14" t="s">
        <v>33</v>
      </c>
      <c r="G72" s="14"/>
      <c r="H72" s="14" t="s">
        <v>314</v>
      </c>
      <c r="I72" s="14"/>
      <c r="J72" s="14" t="s">
        <v>315</v>
      </c>
      <c r="K72" s="14" t="s">
        <v>137</v>
      </c>
      <c r="L72" s="14"/>
      <c r="M72" s="15" t="str">
        <f t="shared" si="2"/>
        <v>完成</v>
      </c>
    </row>
    <row r="73" spans="1:13" ht="70" hidden="1" customHeight="1">
      <c r="A73" s="13">
        <v>2</v>
      </c>
      <c r="B73" s="13" t="s">
        <v>316</v>
      </c>
      <c r="C73" s="13" t="s">
        <v>317</v>
      </c>
      <c r="D73" s="13"/>
      <c r="E73" s="13"/>
      <c r="F73" s="14" t="s">
        <v>33</v>
      </c>
      <c r="G73" s="14"/>
      <c r="H73" s="14" t="s">
        <v>318</v>
      </c>
      <c r="I73" s="14"/>
      <c r="J73" s="14" t="s">
        <v>319</v>
      </c>
      <c r="K73" s="14" t="s">
        <v>57</v>
      </c>
      <c r="L73" s="14"/>
      <c r="M73" s="15" t="str">
        <f t="shared" si="2"/>
        <v>完成</v>
      </c>
    </row>
    <row r="74" spans="1:13" ht="70" hidden="1" customHeight="1">
      <c r="A74" s="13">
        <v>2</v>
      </c>
      <c r="B74" s="13" t="s">
        <v>320</v>
      </c>
      <c r="C74" s="13" t="s">
        <v>321</v>
      </c>
      <c r="D74" s="13"/>
      <c r="E74" s="13"/>
      <c r="F74" s="14" t="s">
        <v>33</v>
      </c>
      <c r="G74" s="14"/>
      <c r="H74" s="14" t="s">
        <v>322</v>
      </c>
      <c r="I74" s="14"/>
      <c r="J74" s="14"/>
      <c r="K74" s="14" t="s">
        <v>57</v>
      </c>
      <c r="L74" s="14"/>
      <c r="M74" s="15" t="str">
        <f t="shared" si="2"/>
        <v>完成</v>
      </c>
    </row>
    <row r="75" spans="1:13" ht="70" hidden="1" customHeight="1">
      <c r="A75" s="13">
        <v>2</v>
      </c>
      <c r="B75" s="13" t="s">
        <v>323</v>
      </c>
      <c r="C75" s="13" t="s">
        <v>67</v>
      </c>
      <c r="D75" s="13" t="s">
        <v>324</v>
      </c>
      <c r="E75" s="13"/>
      <c r="F75" s="14" t="s">
        <v>27</v>
      </c>
      <c r="G75" s="14" t="s">
        <v>91</v>
      </c>
      <c r="H75" s="14" t="s">
        <v>325</v>
      </c>
      <c r="I75" s="14" t="s">
        <v>239</v>
      </c>
      <c r="J75" s="14" t="s">
        <v>326</v>
      </c>
      <c r="K75" s="14" t="s">
        <v>57</v>
      </c>
      <c r="L75" s="14"/>
      <c r="M75" s="15" t="str">
        <f t="shared" si="2"/>
        <v>完成</v>
      </c>
    </row>
    <row r="76" spans="1:13" ht="70" hidden="1" customHeight="1">
      <c r="A76" s="13">
        <v>2</v>
      </c>
      <c r="B76" s="13" t="s">
        <v>327</v>
      </c>
      <c r="C76" s="13" t="s">
        <v>67</v>
      </c>
      <c r="D76" s="13" t="s">
        <v>328</v>
      </c>
      <c r="E76" s="13"/>
      <c r="F76" s="14" t="s">
        <v>27</v>
      </c>
      <c r="G76" s="14" t="s">
        <v>176</v>
      </c>
      <c r="H76" s="14" t="s">
        <v>329</v>
      </c>
      <c r="I76" s="14"/>
      <c r="J76" s="14" t="s">
        <v>330</v>
      </c>
      <c r="K76" s="14" t="s">
        <v>57</v>
      </c>
      <c r="L76" s="14"/>
      <c r="M76" s="15" t="str">
        <f t="shared" si="2"/>
        <v>完成</v>
      </c>
    </row>
    <row r="77" spans="1:13" ht="70" hidden="1" customHeight="1">
      <c r="A77" s="13">
        <v>2</v>
      </c>
      <c r="B77" s="13" t="s">
        <v>331</v>
      </c>
      <c r="C77" s="13" t="s">
        <v>332</v>
      </c>
      <c r="D77" s="13"/>
      <c r="E77" s="13"/>
      <c r="F77" s="14" t="s">
        <v>27</v>
      </c>
      <c r="G77" s="14" t="s">
        <v>78</v>
      </c>
      <c r="H77" s="14" t="s">
        <v>333</v>
      </c>
      <c r="I77" s="14" t="s">
        <v>334</v>
      </c>
      <c r="J77" s="14" t="s">
        <v>335</v>
      </c>
      <c r="K77" s="14" t="s">
        <v>57</v>
      </c>
      <c r="L77" s="14"/>
      <c r="M77" s="15" t="str">
        <f t="shared" si="2"/>
        <v>完成</v>
      </c>
    </row>
    <row r="78" spans="1:13" ht="70" hidden="1" customHeight="1">
      <c r="A78" s="13">
        <v>2</v>
      </c>
      <c r="B78" s="13" t="s">
        <v>336</v>
      </c>
      <c r="C78" s="13" t="s">
        <v>337</v>
      </c>
      <c r="D78" s="13"/>
      <c r="E78" s="13"/>
      <c r="F78" s="14" t="s">
        <v>33</v>
      </c>
      <c r="G78" s="14"/>
      <c r="H78" s="14" t="s">
        <v>338</v>
      </c>
      <c r="I78" s="14" t="s">
        <v>339</v>
      </c>
      <c r="J78" s="14"/>
      <c r="K78" s="14" t="s">
        <v>137</v>
      </c>
      <c r="L78" s="14"/>
      <c r="M78" s="15" t="str">
        <f t="shared" si="2"/>
        <v>完成</v>
      </c>
    </row>
    <row r="79" spans="1:13" ht="70" hidden="1" customHeight="1">
      <c r="A79" s="13">
        <v>2</v>
      </c>
      <c r="B79" s="13" t="s">
        <v>340</v>
      </c>
      <c r="C79" s="13" t="s">
        <v>341</v>
      </c>
      <c r="D79" s="13"/>
      <c r="E79" s="13"/>
      <c r="F79" s="14" t="s">
        <v>27</v>
      </c>
      <c r="G79" s="14" t="s">
        <v>116</v>
      </c>
      <c r="H79" s="14" t="s">
        <v>342</v>
      </c>
      <c r="I79" s="14"/>
      <c r="J79" s="14" t="s">
        <v>228</v>
      </c>
      <c r="K79" s="14" t="s">
        <v>57</v>
      </c>
      <c r="L79" s="14"/>
      <c r="M79" s="15" t="str">
        <f t="shared" si="2"/>
        <v>完成</v>
      </c>
    </row>
    <row r="80" spans="1:13" ht="70" hidden="1" customHeight="1">
      <c r="A80" s="13">
        <v>2</v>
      </c>
      <c r="B80" s="13" t="s">
        <v>343</v>
      </c>
      <c r="C80" s="13" t="s">
        <v>344</v>
      </c>
      <c r="D80" s="13"/>
      <c r="E80" s="13"/>
      <c r="F80" s="14" t="s">
        <v>27</v>
      </c>
      <c r="G80" s="14" t="s">
        <v>54</v>
      </c>
      <c r="H80" s="14" t="s">
        <v>345</v>
      </c>
      <c r="I80" s="14"/>
      <c r="J80" s="14"/>
      <c r="K80" s="14" t="s">
        <v>57</v>
      </c>
      <c r="L80" s="14"/>
      <c r="M80" s="15" t="str">
        <f t="shared" si="2"/>
        <v>完成</v>
      </c>
    </row>
    <row r="81" spans="1:13" ht="70" hidden="1" customHeight="1">
      <c r="A81" s="13">
        <v>2</v>
      </c>
      <c r="B81" s="13" t="s">
        <v>346</v>
      </c>
      <c r="C81" s="13" t="s">
        <v>67</v>
      </c>
      <c r="D81" s="13" t="s">
        <v>287</v>
      </c>
      <c r="E81" s="13"/>
      <c r="F81" s="14" t="s">
        <v>30</v>
      </c>
      <c r="G81" s="14"/>
      <c r="H81" s="14" t="s">
        <v>347</v>
      </c>
      <c r="I81" s="14"/>
      <c r="J81" s="14" t="s">
        <v>348</v>
      </c>
      <c r="K81" s="14" t="s">
        <v>57</v>
      </c>
      <c r="L81" s="14"/>
      <c r="M81" s="15" t="str">
        <f t="shared" si="2"/>
        <v>完成</v>
      </c>
    </row>
    <row r="82" spans="1:13" ht="70" hidden="1" customHeight="1">
      <c r="A82" s="13">
        <v>3</v>
      </c>
      <c r="B82" s="13" t="s">
        <v>349</v>
      </c>
      <c r="C82" s="13" t="s">
        <v>350</v>
      </c>
      <c r="D82" s="13"/>
      <c r="E82" s="13"/>
      <c r="F82" s="14" t="s">
        <v>27</v>
      </c>
      <c r="G82" s="14" t="s">
        <v>101</v>
      </c>
      <c r="H82" s="14" t="s">
        <v>351</v>
      </c>
      <c r="I82" s="14"/>
      <c r="J82" s="14"/>
      <c r="K82" s="14" t="s">
        <v>57</v>
      </c>
      <c r="L82" s="14"/>
      <c r="M82" s="15" t="str">
        <f t="shared" si="2"/>
        <v>完成</v>
      </c>
    </row>
    <row r="83" spans="1:13" ht="70" hidden="1" customHeight="1">
      <c r="A83" s="13">
        <v>3</v>
      </c>
      <c r="B83" s="13" t="s">
        <v>352</v>
      </c>
      <c r="C83" s="13" t="s">
        <v>353</v>
      </c>
      <c r="D83" s="13"/>
      <c r="E83" s="13"/>
      <c r="F83" s="14" t="s">
        <v>27</v>
      </c>
      <c r="G83" s="14" t="s">
        <v>86</v>
      </c>
      <c r="H83" s="14" t="s">
        <v>354</v>
      </c>
      <c r="I83" s="14"/>
      <c r="J83" s="14" t="s">
        <v>355</v>
      </c>
      <c r="K83" s="14" t="s">
        <v>57</v>
      </c>
      <c r="L83" s="14"/>
      <c r="M83" s="15" t="str">
        <f t="shared" si="2"/>
        <v>完成</v>
      </c>
    </row>
    <row r="84" spans="1:13" ht="70" hidden="1" customHeight="1">
      <c r="A84" s="13">
        <v>3</v>
      </c>
      <c r="B84" s="13" t="s">
        <v>356</v>
      </c>
      <c r="C84" s="13" t="s">
        <v>357</v>
      </c>
      <c r="D84" s="13"/>
      <c r="E84" s="13"/>
      <c r="F84" s="14" t="s">
        <v>30</v>
      </c>
      <c r="G84" s="14"/>
      <c r="H84" s="14" t="s">
        <v>358</v>
      </c>
      <c r="I84" s="14"/>
      <c r="J84" s="14" t="s">
        <v>359</v>
      </c>
      <c r="K84" s="14" t="s">
        <v>57</v>
      </c>
      <c r="L84" s="14"/>
      <c r="M84" s="15" t="str">
        <f t="shared" si="2"/>
        <v>完成</v>
      </c>
    </row>
    <row r="85" spans="1:13" ht="70" hidden="1" customHeight="1">
      <c r="A85" s="13">
        <v>3</v>
      </c>
      <c r="B85" s="13" t="s">
        <v>360</v>
      </c>
      <c r="C85" s="13" t="s">
        <v>361</v>
      </c>
      <c r="D85" s="13"/>
      <c r="E85" s="13"/>
      <c r="F85" s="14" t="s">
        <v>27</v>
      </c>
      <c r="G85" s="14" t="s">
        <v>116</v>
      </c>
      <c r="H85" s="14" t="s">
        <v>362</v>
      </c>
      <c r="I85" s="14" t="s">
        <v>363</v>
      </c>
      <c r="J85" s="14" t="s">
        <v>364</v>
      </c>
      <c r="K85" s="14" t="s">
        <v>57</v>
      </c>
      <c r="L85" s="14"/>
      <c r="M85" s="15" t="str">
        <f t="shared" si="2"/>
        <v>完成</v>
      </c>
    </row>
    <row r="86" spans="1:13" ht="70" hidden="1" customHeight="1">
      <c r="A86" s="13">
        <v>3</v>
      </c>
      <c r="B86" s="13" t="s">
        <v>365</v>
      </c>
      <c r="C86" s="13" t="s">
        <v>366</v>
      </c>
      <c r="D86" s="13"/>
      <c r="E86" s="13"/>
      <c r="F86" s="14" t="s">
        <v>27</v>
      </c>
      <c r="G86" s="14" t="s">
        <v>176</v>
      </c>
      <c r="H86" s="14" t="s">
        <v>367</v>
      </c>
      <c r="I86" s="14"/>
      <c r="J86" s="14" t="s">
        <v>368</v>
      </c>
      <c r="K86" s="14" t="s">
        <v>57</v>
      </c>
      <c r="L86" s="14"/>
      <c r="M86" s="15" t="str">
        <f t="shared" si="2"/>
        <v>完成</v>
      </c>
    </row>
    <row r="87" spans="1:13" ht="70" hidden="1" customHeight="1">
      <c r="A87" s="13">
        <v>3</v>
      </c>
      <c r="B87" s="13" t="s">
        <v>369</v>
      </c>
      <c r="C87" s="13" t="s">
        <v>370</v>
      </c>
      <c r="D87" s="13"/>
      <c r="E87" s="13"/>
      <c r="F87" s="14" t="s">
        <v>35</v>
      </c>
      <c r="G87" s="14"/>
      <c r="H87" s="14" t="s">
        <v>371</v>
      </c>
      <c r="I87" s="14"/>
      <c r="J87" s="14"/>
      <c r="K87" s="14" t="s">
        <v>57</v>
      </c>
      <c r="L87" s="14"/>
      <c r="M87" s="15" t="str">
        <f t="shared" si="2"/>
        <v>完成</v>
      </c>
    </row>
    <row r="88" spans="1:13" ht="70" hidden="1" customHeight="1">
      <c r="A88" s="13">
        <v>3</v>
      </c>
      <c r="B88" s="13" t="s">
        <v>372</v>
      </c>
      <c r="C88" s="13" t="s">
        <v>373</v>
      </c>
      <c r="D88" s="13"/>
      <c r="E88" s="13"/>
      <c r="F88" s="14" t="s">
        <v>30</v>
      </c>
      <c r="G88" s="14"/>
      <c r="H88" s="14" t="s">
        <v>374</v>
      </c>
      <c r="I88" s="14"/>
      <c r="J88" s="14"/>
      <c r="K88" s="14" t="s">
        <v>57</v>
      </c>
      <c r="L88" s="14"/>
      <c r="M88" s="15" t="str">
        <f t="shared" si="2"/>
        <v>完成</v>
      </c>
    </row>
    <row r="89" spans="1:13" ht="70" hidden="1" customHeight="1">
      <c r="A89" s="13">
        <v>3</v>
      </c>
      <c r="B89" s="13" t="s">
        <v>375</v>
      </c>
      <c r="C89" s="13" t="s">
        <v>376</v>
      </c>
      <c r="D89" s="13"/>
      <c r="E89" s="13"/>
      <c r="F89" s="14" t="s">
        <v>33</v>
      </c>
      <c r="G89" s="14"/>
      <c r="H89" s="14" t="s">
        <v>377</v>
      </c>
      <c r="I89" s="14"/>
      <c r="J89" s="14" t="s">
        <v>228</v>
      </c>
      <c r="K89" s="14" t="s">
        <v>57</v>
      </c>
      <c r="L89" s="14"/>
      <c r="M89" s="15" t="str">
        <f t="shared" si="2"/>
        <v>完成</v>
      </c>
    </row>
    <row r="90" spans="1:13" ht="70" hidden="1" customHeight="1">
      <c r="A90" s="13">
        <v>3</v>
      </c>
      <c r="B90" s="13" t="s">
        <v>378</v>
      </c>
      <c r="C90" s="13" t="s">
        <v>379</v>
      </c>
      <c r="D90" s="13"/>
      <c r="E90" s="13"/>
      <c r="F90" s="14" t="s">
        <v>27</v>
      </c>
      <c r="G90" s="14" t="s">
        <v>54</v>
      </c>
      <c r="H90" s="14" t="s">
        <v>380</v>
      </c>
      <c r="I90" s="14"/>
      <c r="J90" s="14"/>
      <c r="K90" s="14" t="s">
        <v>57</v>
      </c>
      <c r="L90" s="14"/>
      <c r="M90" s="15" t="str">
        <f t="shared" si="2"/>
        <v>完成</v>
      </c>
    </row>
    <row r="91" spans="1:13" ht="70" hidden="1" customHeight="1">
      <c r="A91" s="13">
        <v>3</v>
      </c>
      <c r="B91" s="13" t="s">
        <v>381</v>
      </c>
      <c r="C91" s="13" t="s">
        <v>382</v>
      </c>
      <c r="D91" s="13"/>
      <c r="E91" s="13"/>
      <c r="F91" s="14" t="s">
        <v>27</v>
      </c>
      <c r="G91" s="14" t="s">
        <v>86</v>
      </c>
      <c r="H91" s="14" t="s">
        <v>383</v>
      </c>
      <c r="I91" s="14"/>
      <c r="J91" s="14"/>
      <c r="K91" s="14" t="s">
        <v>57</v>
      </c>
      <c r="L91" s="14"/>
      <c r="M91" s="15" t="str">
        <f t="shared" si="2"/>
        <v>完成</v>
      </c>
    </row>
    <row r="92" spans="1:13" ht="70" hidden="1" customHeight="1">
      <c r="A92" s="13">
        <v>3</v>
      </c>
      <c r="B92" s="13" t="s">
        <v>384</v>
      </c>
      <c r="C92" s="13" t="s">
        <v>67</v>
      </c>
      <c r="D92" s="13" t="s">
        <v>385</v>
      </c>
      <c r="E92" s="13"/>
      <c r="F92" s="14" t="s">
        <v>35</v>
      </c>
      <c r="G92" s="14"/>
      <c r="H92" s="14" t="s">
        <v>386</v>
      </c>
      <c r="I92" s="14"/>
      <c r="J92" s="14"/>
      <c r="K92" s="14" t="s">
        <v>57</v>
      </c>
      <c r="L92" s="14"/>
      <c r="M92" s="15" t="str">
        <f t="shared" si="2"/>
        <v>完成</v>
      </c>
    </row>
    <row r="93" spans="1:13" ht="70" hidden="1" customHeight="1">
      <c r="A93" s="13">
        <v>3</v>
      </c>
      <c r="B93" s="13" t="s">
        <v>387</v>
      </c>
      <c r="C93" s="13" t="s">
        <v>67</v>
      </c>
      <c r="D93" s="13" t="s">
        <v>388</v>
      </c>
      <c r="E93" s="13"/>
      <c r="F93" s="14" t="s">
        <v>33</v>
      </c>
      <c r="G93" s="14"/>
      <c r="H93" s="14" t="s">
        <v>389</v>
      </c>
      <c r="I93" s="14"/>
      <c r="J93" s="14"/>
      <c r="K93" s="14" t="s">
        <v>57</v>
      </c>
      <c r="L93" s="14"/>
      <c r="M93" s="15" t="str">
        <f t="shared" si="2"/>
        <v>完成</v>
      </c>
    </row>
    <row r="94" spans="1:13" ht="70" hidden="1" customHeight="1">
      <c r="A94" s="13">
        <v>3</v>
      </c>
      <c r="B94" s="13" t="s">
        <v>390</v>
      </c>
      <c r="C94" s="13" t="s">
        <v>391</v>
      </c>
      <c r="D94" s="13"/>
      <c r="E94" s="13"/>
      <c r="F94" s="14" t="s">
        <v>27</v>
      </c>
      <c r="G94" s="14" t="s">
        <v>91</v>
      </c>
      <c r="H94" s="14" t="s">
        <v>392</v>
      </c>
      <c r="I94" s="14" t="s">
        <v>93</v>
      </c>
      <c r="J94" s="14" t="s">
        <v>393</v>
      </c>
      <c r="K94" s="14" t="s">
        <v>57</v>
      </c>
      <c r="L94" s="14"/>
      <c r="M94" s="15" t="str">
        <f t="shared" si="2"/>
        <v>完成</v>
      </c>
    </row>
    <row r="95" spans="1:13" ht="70" hidden="1" customHeight="1">
      <c r="A95" s="13">
        <v>3</v>
      </c>
      <c r="B95" s="13" t="s">
        <v>394</v>
      </c>
      <c r="C95" s="13" t="s">
        <v>395</v>
      </c>
      <c r="D95" s="13"/>
      <c r="E95" s="13"/>
      <c r="F95" s="14" t="s">
        <v>27</v>
      </c>
      <c r="G95" s="14" t="s">
        <v>54</v>
      </c>
      <c r="H95" s="14" t="s">
        <v>55</v>
      </c>
      <c r="I95" s="14" t="s">
        <v>56</v>
      </c>
      <c r="J95" s="14"/>
      <c r="K95" s="14" t="s">
        <v>57</v>
      </c>
      <c r="L95" s="14"/>
      <c r="M95" s="15" t="str">
        <f t="shared" si="2"/>
        <v>完成</v>
      </c>
    </row>
    <row r="96" spans="1:13" ht="70" hidden="1" customHeight="1">
      <c r="A96" s="13">
        <v>3</v>
      </c>
      <c r="B96" s="13" t="s">
        <v>396</v>
      </c>
      <c r="C96" s="13" t="s">
        <v>397</v>
      </c>
      <c r="D96" s="13"/>
      <c r="E96" s="13"/>
      <c r="F96" s="14" t="s">
        <v>33</v>
      </c>
      <c r="G96" s="14"/>
      <c r="H96" s="14" t="s">
        <v>318</v>
      </c>
      <c r="I96" s="14"/>
      <c r="J96" s="14"/>
      <c r="K96" s="14" t="s">
        <v>57</v>
      </c>
      <c r="L96" s="14"/>
      <c r="M96" s="15" t="str">
        <f t="shared" si="2"/>
        <v>完成</v>
      </c>
    </row>
    <row r="97" spans="1:13" ht="70" hidden="1" customHeight="1">
      <c r="A97" s="13">
        <v>3</v>
      </c>
      <c r="B97" s="13" t="s">
        <v>398</v>
      </c>
      <c r="C97" s="13" t="s">
        <v>399</v>
      </c>
      <c r="D97" s="13"/>
      <c r="E97" s="13"/>
      <c r="F97" s="14" t="s">
        <v>30</v>
      </c>
      <c r="G97" s="14"/>
      <c r="H97" s="14" t="s">
        <v>400</v>
      </c>
      <c r="I97" s="14" t="s">
        <v>401</v>
      </c>
      <c r="J97" s="14" t="s">
        <v>402</v>
      </c>
      <c r="K97" s="14" t="s">
        <v>57</v>
      </c>
      <c r="L97" s="14" t="s">
        <v>403</v>
      </c>
      <c r="M97" s="15" t="str">
        <f t="shared" si="2"/>
        <v>完成</v>
      </c>
    </row>
    <row r="98" spans="1:13" ht="70" hidden="1" customHeight="1">
      <c r="A98" s="13">
        <v>3</v>
      </c>
      <c r="B98" s="13" t="s">
        <v>404</v>
      </c>
      <c r="C98" s="13" t="s">
        <v>405</v>
      </c>
      <c r="D98" s="13"/>
      <c r="E98" s="13"/>
      <c r="F98" s="14" t="s">
        <v>30</v>
      </c>
      <c r="G98" s="14"/>
      <c r="H98" s="14" t="s">
        <v>406</v>
      </c>
      <c r="I98" s="14"/>
      <c r="J98" s="14" t="s">
        <v>407</v>
      </c>
      <c r="K98" s="14" t="s">
        <v>57</v>
      </c>
      <c r="L98" s="14"/>
      <c r="M98" s="15" t="str">
        <f t="shared" ref="M98:M129" si="3">IF(F98="","待填写",IF(H98="","缺 evidence_quote",IF(K98="","缺 horizon",IF(AND(LEFT(F98,1)="1",G98=""),"缺 target_intent",IF(AND(LEFT(F98,1)&lt;&gt;"1",G98&lt;&gt;""),"非 in_scope 请清空 target",IF(OR(ISNUMBER(SEARCH(H98,C98)),ISNUMBER(SEARCH(H98,D98))),"完成","evidence 不在上下文"))))))</f>
        <v>完成</v>
      </c>
    </row>
    <row r="99" spans="1:13" ht="70" hidden="1" customHeight="1">
      <c r="A99" s="13">
        <v>3</v>
      </c>
      <c r="B99" s="13" t="s">
        <v>408</v>
      </c>
      <c r="C99" s="13" t="s">
        <v>409</v>
      </c>
      <c r="D99" s="13"/>
      <c r="E99" s="13"/>
      <c r="F99" s="14" t="s">
        <v>35</v>
      </c>
      <c r="G99" s="14"/>
      <c r="H99" s="14" t="s">
        <v>410</v>
      </c>
      <c r="I99" s="14"/>
      <c r="J99" s="14"/>
      <c r="K99" s="14" t="s">
        <v>57</v>
      </c>
      <c r="L99" s="14"/>
      <c r="M99" s="15" t="str">
        <f t="shared" si="3"/>
        <v>完成</v>
      </c>
    </row>
    <row r="100" spans="1:13" ht="70" hidden="1" customHeight="1">
      <c r="A100" s="13">
        <v>3</v>
      </c>
      <c r="B100" s="13" t="s">
        <v>411</v>
      </c>
      <c r="C100" s="13" t="s">
        <v>210</v>
      </c>
      <c r="D100" s="13" t="s">
        <v>412</v>
      </c>
      <c r="E100" s="13"/>
      <c r="F100" s="14" t="s">
        <v>33</v>
      </c>
      <c r="G100" s="14"/>
      <c r="H100" s="14" t="s">
        <v>413</v>
      </c>
      <c r="I100" s="14"/>
      <c r="J100" s="14"/>
      <c r="K100" s="14" t="s">
        <v>57</v>
      </c>
      <c r="L100" s="14"/>
      <c r="M100" s="15" t="str">
        <f t="shared" si="3"/>
        <v>完成</v>
      </c>
    </row>
    <row r="101" spans="1:13" ht="70" customHeight="1">
      <c r="A101" s="13">
        <v>3</v>
      </c>
      <c r="B101" s="13" t="s">
        <v>414</v>
      </c>
      <c r="C101" s="29" t="s">
        <v>681</v>
      </c>
      <c r="D101" s="13"/>
      <c r="E101" s="13"/>
      <c r="F101" s="14" t="s">
        <v>27</v>
      </c>
      <c r="G101" s="14" t="s">
        <v>116</v>
      </c>
      <c r="H101" s="28" t="s">
        <v>682</v>
      </c>
      <c r="I101" s="14"/>
      <c r="J101" s="28" t="s">
        <v>683</v>
      </c>
      <c r="K101" s="14" t="s">
        <v>57</v>
      </c>
      <c r="L101" s="14"/>
      <c r="M101" s="15" t="str">
        <f t="shared" si="3"/>
        <v>完成</v>
      </c>
    </row>
    <row r="102" spans="1:13" ht="70" hidden="1" customHeight="1">
      <c r="A102" s="13">
        <v>3</v>
      </c>
      <c r="B102" s="13" t="s">
        <v>415</v>
      </c>
      <c r="C102" s="13" t="s">
        <v>416</v>
      </c>
      <c r="D102" s="13"/>
      <c r="E102" s="13"/>
      <c r="F102" s="14" t="s">
        <v>30</v>
      </c>
      <c r="G102" s="14"/>
      <c r="H102" s="14" t="s">
        <v>417</v>
      </c>
      <c r="I102" s="14"/>
      <c r="J102" s="14"/>
      <c r="K102" s="14" t="s">
        <v>57</v>
      </c>
      <c r="L102" s="14"/>
      <c r="M102" s="15" t="str">
        <f t="shared" si="3"/>
        <v>完成</v>
      </c>
    </row>
    <row r="103" spans="1:13" ht="70" hidden="1" customHeight="1">
      <c r="A103" s="13">
        <v>3</v>
      </c>
      <c r="B103" s="13" t="s">
        <v>418</v>
      </c>
      <c r="C103" s="13" t="s">
        <v>419</v>
      </c>
      <c r="D103" s="13"/>
      <c r="E103" s="13"/>
      <c r="F103" s="14" t="s">
        <v>27</v>
      </c>
      <c r="G103" s="14" t="s">
        <v>54</v>
      </c>
      <c r="H103" s="14" t="s">
        <v>420</v>
      </c>
      <c r="I103" s="14" t="s">
        <v>56</v>
      </c>
      <c r="J103" s="14"/>
      <c r="K103" s="14" t="s">
        <v>57</v>
      </c>
      <c r="L103" s="14"/>
      <c r="M103" s="15" t="str">
        <f t="shared" si="3"/>
        <v>完成</v>
      </c>
    </row>
    <row r="104" spans="1:13" ht="70" hidden="1" customHeight="1">
      <c r="A104" s="13">
        <v>3</v>
      </c>
      <c r="B104" s="13" t="s">
        <v>421</v>
      </c>
      <c r="C104" s="13" t="s">
        <v>422</v>
      </c>
      <c r="D104" s="13"/>
      <c r="E104" s="13"/>
      <c r="F104" s="14" t="s">
        <v>27</v>
      </c>
      <c r="G104" s="14" t="s">
        <v>54</v>
      </c>
      <c r="H104" s="14" t="s">
        <v>423</v>
      </c>
      <c r="I104" s="14"/>
      <c r="J104" s="14"/>
      <c r="K104" s="14" t="s">
        <v>57</v>
      </c>
      <c r="L104" s="14"/>
      <c r="M104" s="15" t="str">
        <f t="shared" si="3"/>
        <v>完成</v>
      </c>
    </row>
    <row r="105" spans="1:13" ht="70" hidden="1" customHeight="1">
      <c r="A105" s="13">
        <v>3</v>
      </c>
      <c r="B105" s="13" t="s">
        <v>424</v>
      </c>
      <c r="C105" s="13" t="s">
        <v>425</v>
      </c>
      <c r="D105" s="13"/>
      <c r="E105" s="13"/>
      <c r="F105" s="14" t="s">
        <v>27</v>
      </c>
      <c r="G105" s="14" t="s">
        <v>176</v>
      </c>
      <c r="H105" s="14" t="s">
        <v>426</v>
      </c>
      <c r="I105" s="14"/>
      <c r="J105" s="14" t="s">
        <v>427</v>
      </c>
      <c r="K105" s="14" t="s">
        <v>57</v>
      </c>
      <c r="L105" s="14"/>
      <c r="M105" s="15" t="str">
        <f t="shared" si="3"/>
        <v>完成</v>
      </c>
    </row>
    <row r="106" spans="1:13" ht="70" hidden="1" customHeight="1">
      <c r="A106" s="13">
        <v>3</v>
      </c>
      <c r="B106" s="13" t="s">
        <v>428</v>
      </c>
      <c r="C106" s="13" t="s">
        <v>67</v>
      </c>
      <c r="D106" s="13" t="s">
        <v>429</v>
      </c>
      <c r="E106" s="13"/>
      <c r="F106" s="14" t="s">
        <v>35</v>
      </c>
      <c r="G106" s="14"/>
      <c r="H106" s="14" t="s">
        <v>430</v>
      </c>
      <c r="I106" s="14"/>
      <c r="J106" s="14"/>
      <c r="K106" s="14" t="s">
        <v>57</v>
      </c>
      <c r="L106" s="14"/>
      <c r="M106" s="15" t="str">
        <f t="shared" si="3"/>
        <v>完成</v>
      </c>
    </row>
    <row r="107" spans="1:13" ht="70" hidden="1" customHeight="1">
      <c r="A107" s="13">
        <v>3</v>
      </c>
      <c r="B107" s="13" t="s">
        <v>431</v>
      </c>
      <c r="C107" s="13" t="s">
        <v>432</v>
      </c>
      <c r="D107" s="13"/>
      <c r="E107" s="13"/>
      <c r="F107" s="14" t="s">
        <v>27</v>
      </c>
      <c r="G107" s="14" t="s">
        <v>86</v>
      </c>
      <c r="H107" s="14" t="s">
        <v>433</v>
      </c>
      <c r="I107" s="14"/>
      <c r="J107" s="14" t="s">
        <v>434</v>
      </c>
      <c r="K107" s="14" t="s">
        <v>57</v>
      </c>
      <c r="L107" s="14"/>
      <c r="M107" s="15" t="str">
        <f t="shared" si="3"/>
        <v>完成</v>
      </c>
    </row>
    <row r="108" spans="1:13" ht="70" hidden="1" customHeight="1">
      <c r="A108" s="13">
        <v>3</v>
      </c>
      <c r="B108" s="13" t="s">
        <v>435</v>
      </c>
      <c r="C108" s="13" t="s">
        <v>67</v>
      </c>
      <c r="D108" s="13" t="s">
        <v>436</v>
      </c>
      <c r="E108" s="13"/>
      <c r="F108" s="14" t="s">
        <v>30</v>
      </c>
      <c r="G108" s="14"/>
      <c r="H108" s="14" t="s">
        <v>437</v>
      </c>
      <c r="I108" s="14" t="s">
        <v>438</v>
      </c>
      <c r="J108" s="14" t="s">
        <v>439</v>
      </c>
      <c r="K108" s="14" t="s">
        <v>57</v>
      </c>
      <c r="L108" s="14" t="s">
        <v>440</v>
      </c>
      <c r="M108" s="15" t="str">
        <f t="shared" si="3"/>
        <v>完成</v>
      </c>
    </row>
    <row r="109" spans="1:13" ht="70" hidden="1" customHeight="1">
      <c r="A109" s="13">
        <v>3</v>
      </c>
      <c r="B109" s="13" t="s">
        <v>441</v>
      </c>
      <c r="C109" s="13" t="s">
        <v>442</v>
      </c>
      <c r="D109" s="13"/>
      <c r="E109" s="13"/>
      <c r="F109" s="14" t="s">
        <v>27</v>
      </c>
      <c r="G109" s="14" t="s">
        <v>78</v>
      </c>
      <c r="H109" s="14" t="s">
        <v>443</v>
      </c>
      <c r="I109" s="14"/>
      <c r="J109" s="14" t="s">
        <v>80</v>
      </c>
      <c r="K109" s="14" t="s">
        <v>57</v>
      </c>
      <c r="L109" s="14"/>
      <c r="M109" s="15" t="str">
        <f t="shared" si="3"/>
        <v>完成</v>
      </c>
    </row>
    <row r="110" spans="1:13" ht="70" hidden="1" customHeight="1">
      <c r="A110" s="13">
        <v>3</v>
      </c>
      <c r="B110" s="13" t="s">
        <v>444</v>
      </c>
      <c r="C110" s="13" t="s">
        <v>445</v>
      </c>
      <c r="D110" s="13"/>
      <c r="E110" s="13"/>
      <c r="F110" s="14" t="s">
        <v>27</v>
      </c>
      <c r="G110" s="14" t="s">
        <v>60</v>
      </c>
      <c r="H110" s="14" t="s">
        <v>446</v>
      </c>
      <c r="I110" s="14"/>
      <c r="J110" s="14" t="s">
        <v>447</v>
      </c>
      <c r="K110" s="14" t="s">
        <v>57</v>
      </c>
      <c r="L110" s="14"/>
      <c r="M110" s="15" t="str">
        <f t="shared" si="3"/>
        <v>完成</v>
      </c>
    </row>
    <row r="111" spans="1:13" ht="70" hidden="1" customHeight="1">
      <c r="A111" s="13">
        <v>3</v>
      </c>
      <c r="B111" s="13" t="s">
        <v>448</v>
      </c>
      <c r="C111" s="13" t="s">
        <v>449</v>
      </c>
      <c r="D111" s="13"/>
      <c r="E111" s="13"/>
      <c r="F111" s="14" t="s">
        <v>33</v>
      </c>
      <c r="G111" s="14"/>
      <c r="H111" s="14" t="s">
        <v>449</v>
      </c>
      <c r="I111" s="14"/>
      <c r="J111" s="14"/>
      <c r="K111" s="14" t="s">
        <v>450</v>
      </c>
      <c r="L111" s="14"/>
      <c r="M111" s="15" t="str">
        <f t="shared" si="3"/>
        <v>完成</v>
      </c>
    </row>
    <row r="112" spans="1:13" ht="70" hidden="1" customHeight="1">
      <c r="A112" s="13">
        <v>3</v>
      </c>
      <c r="B112" s="13" t="s">
        <v>451</v>
      </c>
      <c r="C112" s="13" t="s">
        <v>67</v>
      </c>
      <c r="D112" s="13" t="s">
        <v>452</v>
      </c>
      <c r="E112" s="13"/>
      <c r="F112" s="14" t="s">
        <v>30</v>
      </c>
      <c r="G112" s="14"/>
      <c r="H112" s="14" t="s">
        <v>453</v>
      </c>
      <c r="I112" s="14"/>
      <c r="J112" s="14" t="s">
        <v>454</v>
      </c>
      <c r="K112" s="14" t="s">
        <v>57</v>
      </c>
      <c r="L112" s="14"/>
      <c r="M112" s="15" t="str">
        <f t="shared" si="3"/>
        <v>完成</v>
      </c>
    </row>
    <row r="113" spans="1:13" ht="70" hidden="1" customHeight="1">
      <c r="A113" s="13">
        <v>3</v>
      </c>
      <c r="B113" s="13" t="s">
        <v>455</v>
      </c>
      <c r="C113" s="13" t="s">
        <v>67</v>
      </c>
      <c r="D113" s="13" t="s">
        <v>456</v>
      </c>
      <c r="E113" s="13"/>
      <c r="F113" s="14" t="s">
        <v>27</v>
      </c>
      <c r="G113" s="14" t="s">
        <v>86</v>
      </c>
      <c r="H113" s="14" t="s">
        <v>457</v>
      </c>
      <c r="I113" s="14"/>
      <c r="J113" s="14" t="s">
        <v>243</v>
      </c>
      <c r="K113" s="14" t="s">
        <v>57</v>
      </c>
      <c r="L113" s="14"/>
      <c r="M113" s="15" t="str">
        <f t="shared" si="3"/>
        <v>完成</v>
      </c>
    </row>
    <row r="114" spans="1:13" ht="70" hidden="1" customHeight="1">
      <c r="A114" s="13">
        <v>3</v>
      </c>
      <c r="B114" s="13" t="s">
        <v>458</v>
      </c>
      <c r="C114" s="13" t="s">
        <v>459</v>
      </c>
      <c r="D114" s="13"/>
      <c r="E114" s="13" t="s">
        <v>60</v>
      </c>
      <c r="F114" s="14" t="s">
        <v>27</v>
      </c>
      <c r="G114" s="14" t="s">
        <v>116</v>
      </c>
      <c r="H114" s="14" t="s">
        <v>460</v>
      </c>
      <c r="I114" s="14"/>
      <c r="J114" s="14"/>
      <c r="K114" s="14" t="s">
        <v>57</v>
      </c>
      <c r="L114" s="14"/>
      <c r="M114" s="15" t="str">
        <f t="shared" si="3"/>
        <v>完成</v>
      </c>
    </row>
    <row r="115" spans="1:13" ht="70" hidden="1" customHeight="1">
      <c r="A115" s="13">
        <v>3</v>
      </c>
      <c r="B115" s="13" t="s">
        <v>461</v>
      </c>
      <c r="C115" s="13" t="s">
        <v>462</v>
      </c>
      <c r="D115" s="13"/>
      <c r="E115" s="13"/>
      <c r="F115" s="14" t="s">
        <v>33</v>
      </c>
      <c r="G115" s="14"/>
      <c r="H115" s="14" t="s">
        <v>463</v>
      </c>
      <c r="I115" s="14"/>
      <c r="J115" s="14"/>
      <c r="K115" s="14" t="s">
        <v>57</v>
      </c>
      <c r="L115" s="14"/>
      <c r="M115" s="15" t="str">
        <f t="shared" si="3"/>
        <v>完成</v>
      </c>
    </row>
    <row r="116" spans="1:13" ht="70" hidden="1" customHeight="1">
      <c r="A116" s="13">
        <v>3</v>
      </c>
      <c r="B116" s="13" t="s">
        <v>464</v>
      </c>
      <c r="C116" s="13" t="s">
        <v>465</v>
      </c>
      <c r="D116" s="13"/>
      <c r="E116" s="13"/>
      <c r="F116" s="14" t="s">
        <v>27</v>
      </c>
      <c r="G116" s="14" t="s">
        <v>91</v>
      </c>
      <c r="H116" s="14" t="s">
        <v>466</v>
      </c>
      <c r="I116" s="14" t="s">
        <v>467</v>
      </c>
      <c r="J116" s="14" t="s">
        <v>468</v>
      </c>
      <c r="K116" s="14" t="s">
        <v>57</v>
      </c>
      <c r="L116" s="14"/>
      <c r="M116" s="15" t="str">
        <f t="shared" si="3"/>
        <v>完成</v>
      </c>
    </row>
    <row r="117" spans="1:13" ht="70" hidden="1" customHeight="1">
      <c r="A117" s="13">
        <v>3</v>
      </c>
      <c r="B117" s="13" t="s">
        <v>469</v>
      </c>
      <c r="C117" s="13" t="s">
        <v>286</v>
      </c>
      <c r="D117" s="13" t="s">
        <v>385</v>
      </c>
      <c r="E117" s="13"/>
      <c r="F117" s="14" t="s">
        <v>35</v>
      </c>
      <c r="G117" s="14"/>
      <c r="H117" s="14" t="s">
        <v>386</v>
      </c>
      <c r="I117" s="14"/>
      <c r="J117" s="14"/>
      <c r="K117" s="14" t="s">
        <v>57</v>
      </c>
      <c r="L117" s="14"/>
      <c r="M117" s="15" t="str">
        <f t="shared" si="3"/>
        <v>完成</v>
      </c>
    </row>
    <row r="118" spans="1:13" ht="70" hidden="1" customHeight="1">
      <c r="A118" s="13">
        <v>3</v>
      </c>
      <c r="B118" s="13" t="s">
        <v>470</v>
      </c>
      <c r="C118" s="13" t="s">
        <v>67</v>
      </c>
      <c r="D118" s="13" t="s">
        <v>471</v>
      </c>
      <c r="E118" s="13"/>
      <c r="F118" s="14" t="s">
        <v>27</v>
      </c>
      <c r="G118" s="14" t="s">
        <v>176</v>
      </c>
      <c r="H118" s="14" t="s">
        <v>472</v>
      </c>
      <c r="I118" s="14"/>
      <c r="J118" s="14"/>
      <c r="K118" s="14" t="s">
        <v>57</v>
      </c>
      <c r="L118" s="14"/>
      <c r="M118" s="15" t="str">
        <f t="shared" si="3"/>
        <v>完成</v>
      </c>
    </row>
    <row r="119" spans="1:13" ht="70" hidden="1" customHeight="1">
      <c r="A119" s="13">
        <v>3</v>
      </c>
      <c r="B119" s="13" t="s">
        <v>473</v>
      </c>
      <c r="C119" s="13" t="s">
        <v>474</v>
      </c>
      <c r="D119" s="13"/>
      <c r="E119" s="13" t="s">
        <v>60</v>
      </c>
      <c r="F119" s="14" t="s">
        <v>33</v>
      </c>
      <c r="G119" s="14"/>
      <c r="H119" s="14" t="s">
        <v>150</v>
      </c>
      <c r="I119" s="14"/>
      <c r="J119" s="14"/>
      <c r="K119" s="14" t="s">
        <v>57</v>
      </c>
      <c r="L119" s="14"/>
      <c r="M119" s="15" t="str">
        <f t="shared" si="3"/>
        <v>完成</v>
      </c>
    </row>
    <row r="120" spans="1:13" ht="70" hidden="1" customHeight="1">
      <c r="A120" s="13">
        <v>3</v>
      </c>
      <c r="B120" s="13" t="s">
        <v>475</v>
      </c>
      <c r="C120" s="13" t="s">
        <v>476</v>
      </c>
      <c r="D120" s="13"/>
      <c r="E120" s="13"/>
      <c r="F120" s="14" t="s">
        <v>33</v>
      </c>
      <c r="G120" s="14"/>
      <c r="H120" s="14" t="s">
        <v>463</v>
      </c>
      <c r="I120" s="14"/>
      <c r="J120" s="14"/>
      <c r="K120" s="14" t="s">
        <v>57</v>
      </c>
      <c r="L120" s="14"/>
      <c r="M120" s="15" t="str">
        <f t="shared" si="3"/>
        <v>完成</v>
      </c>
    </row>
    <row r="121" spans="1:13" ht="70" hidden="1" customHeight="1">
      <c r="A121" s="13">
        <v>3</v>
      </c>
      <c r="B121" s="13" t="s">
        <v>477</v>
      </c>
      <c r="C121" s="13" t="s">
        <v>478</v>
      </c>
      <c r="D121" s="13"/>
      <c r="E121" s="13"/>
      <c r="F121" s="14" t="s">
        <v>27</v>
      </c>
      <c r="G121" s="14" t="s">
        <v>91</v>
      </c>
      <c r="H121" s="14" t="s">
        <v>479</v>
      </c>
      <c r="I121" s="14" t="s">
        <v>239</v>
      </c>
      <c r="J121" s="14" t="s">
        <v>480</v>
      </c>
      <c r="K121" s="14" t="s">
        <v>57</v>
      </c>
      <c r="L121" s="14"/>
      <c r="M121" s="15" t="str">
        <f t="shared" si="3"/>
        <v>完成</v>
      </c>
    </row>
    <row r="122" spans="1:13" ht="70" hidden="1" customHeight="1">
      <c r="A122" s="13">
        <v>4</v>
      </c>
      <c r="B122" s="13" t="s">
        <v>481</v>
      </c>
      <c r="C122" s="13" t="s">
        <v>482</v>
      </c>
      <c r="D122" s="13"/>
      <c r="E122" s="13" t="s">
        <v>60</v>
      </c>
      <c r="F122" s="14" t="s">
        <v>27</v>
      </c>
      <c r="G122" s="14" t="s">
        <v>91</v>
      </c>
      <c r="H122" s="14" t="s">
        <v>483</v>
      </c>
      <c r="I122" s="14"/>
      <c r="J122" s="14" t="s">
        <v>484</v>
      </c>
      <c r="K122" s="14" t="s">
        <v>57</v>
      </c>
      <c r="L122" s="14"/>
      <c r="M122" s="15" t="str">
        <f t="shared" si="3"/>
        <v>完成</v>
      </c>
    </row>
    <row r="123" spans="1:13" ht="70" hidden="1" customHeight="1">
      <c r="A123" s="13">
        <v>4</v>
      </c>
      <c r="B123" s="13" t="s">
        <v>485</v>
      </c>
      <c r="C123" s="13" t="s">
        <v>486</v>
      </c>
      <c r="D123" s="13" t="s">
        <v>452</v>
      </c>
      <c r="E123" s="13"/>
      <c r="F123" s="14" t="s">
        <v>30</v>
      </c>
      <c r="G123" s="14"/>
      <c r="H123" s="14" t="s">
        <v>487</v>
      </c>
      <c r="I123" s="14"/>
      <c r="J123" s="14" t="s">
        <v>454</v>
      </c>
      <c r="K123" s="14" t="s">
        <v>57</v>
      </c>
      <c r="L123" s="14"/>
      <c r="M123" s="15" t="str">
        <f t="shared" si="3"/>
        <v>完成</v>
      </c>
    </row>
    <row r="124" spans="1:13" ht="70" hidden="1" customHeight="1">
      <c r="A124" s="13">
        <v>4</v>
      </c>
      <c r="B124" s="13" t="s">
        <v>488</v>
      </c>
      <c r="C124" s="13" t="s">
        <v>489</v>
      </c>
      <c r="D124" s="13"/>
      <c r="E124" s="13"/>
      <c r="F124" s="14" t="s">
        <v>27</v>
      </c>
      <c r="G124" s="14" t="s">
        <v>91</v>
      </c>
      <c r="H124" s="14" t="s">
        <v>490</v>
      </c>
      <c r="I124" s="14"/>
      <c r="J124" s="14" t="s">
        <v>491</v>
      </c>
      <c r="K124" s="14" t="s">
        <v>57</v>
      </c>
      <c r="L124" s="14"/>
      <c r="M124" s="15" t="str">
        <f t="shared" si="3"/>
        <v>完成</v>
      </c>
    </row>
    <row r="125" spans="1:13" ht="70" hidden="1" customHeight="1">
      <c r="A125" s="13">
        <v>4</v>
      </c>
      <c r="B125" s="13" t="s">
        <v>492</v>
      </c>
      <c r="C125" s="13" t="s">
        <v>493</v>
      </c>
      <c r="D125" s="13"/>
      <c r="E125" s="13"/>
      <c r="F125" s="14" t="s">
        <v>27</v>
      </c>
      <c r="G125" s="14" t="s">
        <v>60</v>
      </c>
      <c r="H125" s="14" t="s">
        <v>494</v>
      </c>
      <c r="I125" s="14"/>
      <c r="J125" s="14" t="s">
        <v>495</v>
      </c>
      <c r="K125" s="14" t="s">
        <v>57</v>
      </c>
      <c r="L125" s="14"/>
      <c r="M125" s="15" t="str">
        <f t="shared" si="3"/>
        <v>完成</v>
      </c>
    </row>
    <row r="126" spans="1:13" ht="70" hidden="1" customHeight="1">
      <c r="A126" s="13">
        <v>4</v>
      </c>
      <c r="B126" s="13" t="s">
        <v>496</v>
      </c>
      <c r="C126" s="13" t="s">
        <v>67</v>
      </c>
      <c r="D126" s="13" t="s">
        <v>307</v>
      </c>
      <c r="E126" s="13"/>
      <c r="F126" s="14" t="s">
        <v>27</v>
      </c>
      <c r="G126" s="14" t="s">
        <v>60</v>
      </c>
      <c r="H126" s="14" t="s">
        <v>308</v>
      </c>
      <c r="I126" s="14"/>
      <c r="J126" s="14" t="s">
        <v>497</v>
      </c>
      <c r="K126" s="14" t="s">
        <v>57</v>
      </c>
      <c r="L126" s="14"/>
      <c r="M126" s="15" t="str">
        <f t="shared" si="3"/>
        <v>完成</v>
      </c>
    </row>
    <row r="127" spans="1:13" ht="70" hidden="1" customHeight="1">
      <c r="A127" s="13">
        <v>4</v>
      </c>
      <c r="B127" s="13" t="s">
        <v>498</v>
      </c>
      <c r="C127" s="13" t="s">
        <v>499</v>
      </c>
      <c r="D127" s="13"/>
      <c r="E127" s="13"/>
      <c r="F127" s="14" t="s">
        <v>27</v>
      </c>
      <c r="G127" s="14" t="s">
        <v>78</v>
      </c>
      <c r="H127" s="14" t="s">
        <v>500</v>
      </c>
      <c r="I127" s="14" t="s">
        <v>501</v>
      </c>
      <c r="J127" s="14" t="s">
        <v>80</v>
      </c>
      <c r="K127" s="14" t="s">
        <v>57</v>
      </c>
      <c r="L127" s="14"/>
      <c r="M127" s="15" t="str">
        <f t="shared" si="3"/>
        <v>完成</v>
      </c>
    </row>
    <row r="128" spans="1:13" ht="70" hidden="1" customHeight="1">
      <c r="A128" s="13">
        <v>4</v>
      </c>
      <c r="B128" s="13" t="s">
        <v>502</v>
      </c>
      <c r="C128" s="13" t="s">
        <v>503</v>
      </c>
      <c r="D128" s="13"/>
      <c r="E128" s="13"/>
      <c r="F128" s="14" t="s">
        <v>27</v>
      </c>
      <c r="G128" s="14" t="s">
        <v>116</v>
      </c>
      <c r="H128" s="14" t="s">
        <v>504</v>
      </c>
      <c r="I128" s="14"/>
      <c r="J128" s="14" t="s">
        <v>505</v>
      </c>
      <c r="K128" s="14" t="s">
        <v>57</v>
      </c>
      <c r="L128" s="14"/>
      <c r="M128" s="15" t="str">
        <f t="shared" si="3"/>
        <v>完成</v>
      </c>
    </row>
    <row r="129" spans="1:13" ht="70" hidden="1" customHeight="1">
      <c r="A129" s="13">
        <v>4</v>
      </c>
      <c r="B129" s="13" t="s">
        <v>506</v>
      </c>
      <c r="C129" s="13" t="s">
        <v>67</v>
      </c>
      <c r="D129" s="13" t="s">
        <v>507</v>
      </c>
      <c r="E129" s="13"/>
      <c r="F129" s="14" t="s">
        <v>27</v>
      </c>
      <c r="G129" s="14" t="s">
        <v>101</v>
      </c>
      <c r="H129" s="14" t="s">
        <v>508</v>
      </c>
      <c r="I129" s="14"/>
      <c r="J129" s="14" t="s">
        <v>509</v>
      </c>
      <c r="K129" s="14" t="s">
        <v>57</v>
      </c>
      <c r="L129" s="14"/>
      <c r="M129" s="15" t="str">
        <f t="shared" si="3"/>
        <v>完成</v>
      </c>
    </row>
    <row r="130" spans="1:13" ht="70" hidden="1" customHeight="1">
      <c r="A130" s="13">
        <v>4</v>
      </c>
      <c r="B130" s="13" t="s">
        <v>510</v>
      </c>
      <c r="C130" s="13" t="s">
        <v>511</v>
      </c>
      <c r="D130" s="13"/>
      <c r="E130" s="13"/>
      <c r="F130" s="14" t="s">
        <v>35</v>
      </c>
      <c r="G130" s="14"/>
      <c r="H130" s="14" t="s">
        <v>512</v>
      </c>
      <c r="I130" s="14"/>
      <c r="J130" s="14"/>
      <c r="K130" s="14" t="s">
        <v>57</v>
      </c>
      <c r="L130" s="14"/>
      <c r="M130" s="15" t="str">
        <f t="shared" ref="M130:M161" si="4">IF(F130="","待填写",IF(H130="","缺 evidence_quote",IF(K130="","缺 horizon",IF(AND(LEFT(F130,1)="1",G130=""),"缺 target_intent",IF(AND(LEFT(F130,1)&lt;&gt;"1",G130&lt;&gt;""),"非 in_scope 请清空 target",IF(OR(ISNUMBER(SEARCH(H130,C130)),ISNUMBER(SEARCH(H130,D130))),"完成","evidence 不在上下文"))))))</f>
        <v>完成</v>
      </c>
    </row>
    <row r="131" spans="1:13" ht="70" hidden="1" customHeight="1">
      <c r="A131" s="13">
        <v>4</v>
      </c>
      <c r="B131" s="13" t="s">
        <v>513</v>
      </c>
      <c r="C131" s="13" t="s">
        <v>514</v>
      </c>
      <c r="D131" s="13"/>
      <c r="E131" s="13"/>
      <c r="F131" s="14" t="s">
        <v>27</v>
      </c>
      <c r="G131" s="14" t="s">
        <v>60</v>
      </c>
      <c r="H131" s="14" t="s">
        <v>515</v>
      </c>
      <c r="I131" s="14"/>
      <c r="J131" s="14" t="s">
        <v>516</v>
      </c>
      <c r="K131" s="14" t="s">
        <v>57</v>
      </c>
      <c r="L131" s="14"/>
      <c r="M131" s="15" t="str">
        <f t="shared" si="4"/>
        <v>完成</v>
      </c>
    </row>
    <row r="132" spans="1:13" ht="70" hidden="1" customHeight="1">
      <c r="A132" s="13">
        <v>4</v>
      </c>
      <c r="B132" s="13" t="s">
        <v>517</v>
      </c>
      <c r="C132" s="13" t="s">
        <v>518</v>
      </c>
      <c r="D132" s="13"/>
      <c r="E132" s="13"/>
      <c r="F132" s="14" t="s">
        <v>33</v>
      </c>
      <c r="G132" s="14"/>
      <c r="H132" s="14" t="s">
        <v>519</v>
      </c>
      <c r="I132" s="14"/>
      <c r="J132" s="14"/>
      <c r="K132" s="14" t="s">
        <v>57</v>
      </c>
      <c r="L132" s="14"/>
      <c r="M132" s="15" t="str">
        <f t="shared" si="4"/>
        <v>完成</v>
      </c>
    </row>
    <row r="133" spans="1:13" ht="70" hidden="1" customHeight="1">
      <c r="A133" s="13">
        <v>4</v>
      </c>
      <c r="B133" s="13" t="s">
        <v>520</v>
      </c>
      <c r="C133" s="13" t="s">
        <v>521</v>
      </c>
      <c r="D133" s="13"/>
      <c r="E133" s="13"/>
      <c r="F133" s="14" t="s">
        <v>33</v>
      </c>
      <c r="G133" s="14"/>
      <c r="H133" s="14" t="s">
        <v>522</v>
      </c>
      <c r="I133" s="14"/>
      <c r="J133" s="14"/>
      <c r="K133" s="14" t="s">
        <v>57</v>
      </c>
      <c r="L133" s="14"/>
      <c r="M133" s="15" t="str">
        <f t="shared" si="4"/>
        <v>完成</v>
      </c>
    </row>
    <row r="134" spans="1:13" ht="70" hidden="1" customHeight="1">
      <c r="A134" s="13">
        <v>4</v>
      </c>
      <c r="B134" s="13" t="s">
        <v>523</v>
      </c>
      <c r="C134" s="13" t="s">
        <v>524</v>
      </c>
      <c r="D134" s="13"/>
      <c r="E134" s="13"/>
      <c r="F134" s="14" t="s">
        <v>27</v>
      </c>
      <c r="G134" s="14" t="s">
        <v>86</v>
      </c>
      <c r="H134" s="14" t="s">
        <v>525</v>
      </c>
      <c r="I134" s="14" t="s">
        <v>526</v>
      </c>
      <c r="J134" s="14" t="s">
        <v>527</v>
      </c>
      <c r="K134" s="14" t="s">
        <v>57</v>
      </c>
      <c r="L134" s="14"/>
      <c r="M134" s="15" t="str">
        <f t="shared" si="4"/>
        <v>完成</v>
      </c>
    </row>
    <row r="135" spans="1:13" ht="70" hidden="1" customHeight="1">
      <c r="A135" s="13">
        <v>4</v>
      </c>
      <c r="B135" s="13" t="s">
        <v>528</v>
      </c>
      <c r="C135" s="13" t="s">
        <v>529</v>
      </c>
      <c r="D135" s="13"/>
      <c r="E135" s="13"/>
      <c r="F135" s="14" t="s">
        <v>30</v>
      </c>
      <c r="G135" s="14"/>
      <c r="H135" s="14" t="s">
        <v>358</v>
      </c>
      <c r="I135" s="14"/>
      <c r="J135" s="14" t="s">
        <v>359</v>
      </c>
      <c r="K135" s="14" t="s">
        <v>57</v>
      </c>
      <c r="L135" s="14"/>
      <c r="M135" s="15" t="str">
        <f t="shared" si="4"/>
        <v>完成</v>
      </c>
    </row>
    <row r="136" spans="1:13" ht="70" hidden="1" customHeight="1">
      <c r="A136" s="13">
        <v>4</v>
      </c>
      <c r="B136" s="13" t="s">
        <v>530</v>
      </c>
      <c r="C136" s="13" t="s">
        <v>531</v>
      </c>
      <c r="D136" s="13"/>
      <c r="E136" s="13"/>
      <c r="F136" s="14" t="s">
        <v>35</v>
      </c>
      <c r="G136" s="14"/>
      <c r="H136" s="14" t="s">
        <v>532</v>
      </c>
      <c r="I136" s="14"/>
      <c r="J136" s="14"/>
      <c r="K136" s="14" t="s">
        <v>57</v>
      </c>
      <c r="L136" s="14"/>
      <c r="M136" s="15" t="str">
        <f t="shared" si="4"/>
        <v>完成</v>
      </c>
    </row>
    <row r="137" spans="1:13" ht="70" hidden="1" customHeight="1">
      <c r="A137" s="13">
        <v>4</v>
      </c>
      <c r="B137" s="13" t="s">
        <v>533</v>
      </c>
      <c r="C137" s="13" t="s">
        <v>534</v>
      </c>
      <c r="D137" s="13"/>
      <c r="E137" s="13"/>
      <c r="F137" s="14" t="s">
        <v>27</v>
      </c>
      <c r="G137" s="14" t="s">
        <v>60</v>
      </c>
      <c r="H137" s="14" t="s">
        <v>535</v>
      </c>
      <c r="I137" s="14" t="s">
        <v>536</v>
      </c>
      <c r="J137" s="14"/>
      <c r="K137" s="14" t="s">
        <v>57</v>
      </c>
      <c r="L137" s="14"/>
      <c r="M137" s="15" t="str">
        <f t="shared" si="4"/>
        <v>完成</v>
      </c>
    </row>
    <row r="138" spans="1:13" ht="70" hidden="1" customHeight="1">
      <c r="A138" s="13">
        <v>4</v>
      </c>
      <c r="B138" s="13" t="s">
        <v>537</v>
      </c>
      <c r="C138" s="13" t="s">
        <v>538</v>
      </c>
      <c r="D138" s="13"/>
      <c r="E138" s="13"/>
      <c r="F138" s="14" t="s">
        <v>27</v>
      </c>
      <c r="G138" s="14" t="s">
        <v>91</v>
      </c>
      <c r="H138" s="14" t="s">
        <v>539</v>
      </c>
      <c r="I138" s="14" t="s">
        <v>540</v>
      </c>
      <c r="J138" s="14" t="s">
        <v>541</v>
      </c>
      <c r="K138" s="14" t="s">
        <v>57</v>
      </c>
      <c r="L138" s="14"/>
      <c r="M138" s="15" t="str">
        <f t="shared" si="4"/>
        <v>完成</v>
      </c>
    </row>
    <row r="139" spans="1:13" ht="70" hidden="1" customHeight="1">
      <c r="A139" s="13">
        <v>4</v>
      </c>
      <c r="B139" s="13" t="s">
        <v>542</v>
      </c>
      <c r="C139" s="13" t="s">
        <v>67</v>
      </c>
      <c r="D139" s="13" t="s">
        <v>543</v>
      </c>
      <c r="E139" s="13"/>
      <c r="F139" s="14" t="s">
        <v>27</v>
      </c>
      <c r="G139" s="14" t="s">
        <v>101</v>
      </c>
      <c r="H139" s="14" t="s">
        <v>544</v>
      </c>
      <c r="I139" s="14"/>
      <c r="J139" s="14" t="s">
        <v>545</v>
      </c>
      <c r="K139" s="14" t="s">
        <v>57</v>
      </c>
      <c r="L139" s="14"/>
      <c r="M139" s="15" t="str">
        <f t="shared" si="4"/>
        <v>完成</v>
      </c>
    </row>
    <row r="140" spans="1:13" ht="70" hidden="1" customHeight="1">
      <c r="A140" s="13">
        <v>4</v>
      </c>
      <c r="B140" s="13" t="s">
        <v>546</v>
      </c>
      <c r="C140" s="13" t="s">
        <v>547</v>
      </c>
      <c r="D140" s="13"/>
      <c r="E140" s="13"/>
      <c r="F140" s="14" t="s">
        <v>33</v>
      </c>
      <c r="G140" s="14"/>
      <c r="H140" s="14" t="s">
        <v>548</v>
      </c>
      <c r="I140" s="14"/>
      <c r="J140" s="14"/>
      <c r="K140" s="14" t="s">
        <v>57</v>
      </c>
      <c r="L140" s="14"/>
      <c r="M140" s="15" t="str">
        <f t="shared" si="4"/>
        <v>完成</v>
      </c>
    </row>
    <row r="141" spans="1:13" ht="70" hidden="1" customHeight="1">
      <c r="A141" s="13">
        <v>4</v>
      </c>
      <c r="B141" s="13" t="s">
        <v>549</v>
      </c>
      <c r="C141" s="13" t="s">
        <v>550</v>
      </c>
      <c r="D141" s="13"/>
      <c r="E141" s="13"/>
      <c r="F141" s="14" t="s">
        <v>27</v>
      </c>
      <c r="G141" s="14" t="s">
        <v>116</v>
      </c>
      <c r="H141" s="14" t="s">
        <v>551</v>
      </c>
      <c r="I141" s="14" t="s">
        <v>552</v>
      </c>
      <c r="J141" s="14" t="s">
        <v>553</v>
      </c>
      <c r="K141" s="14" t="s">
        <v>57</v>
      </c>
      <c r="L141" s="14"/>
      <c r="M141" s="15" t="str">
        <f t="shared" si="4"/>
        <v>完成</v>
      </c>
    </row>
    <row r="142" spans="1:13" ht="70" hidden="1" customHeight="1">
      <c r="A142" s="13">
        <v>4</v>
      </c>
      <c r="B142" s="13" t="s">
        <v>554</v>
      </c>
      <c r="C142" s="13" t="s">
        <v>67</v>
      </c>
      <c r="D142" s="13" t="s">
        <v>412</v>
      </c>
      <c r="E142" s="13"/>
      <c r="F142" s="14" t="s">
        <v>33</v>
      </c>
      <c r="G142" s="14"/>
      <c r="H142" s="14" t="s">
        <v>555</v>
      </c>
      <c r="I142" s="14"/>
      <c r="J142" s="14"/>
      <c r="K142" s="14" t="s">
        <v>57</v>
      </c>
      <c r="L142" s="14"/>
      <c r="M142" s="15" t="str">
        <f t="shared" si="4"/>
        <v>完成</v>
      </c>
    </row>
    <row r="143" spans="1:13" ht="70" hidden="1" customHeight="1">
      <c r="A143" s="13">
        <v>4</v>
      </c>
      <c r="B143" s="13" t="s">
        <v>556</v>
      </c>
      <c r="C143" s="13" t="s">
        <v>557</v>
      </c>
      <c r="D143" s="13"/>
      <c r="E143" s="13"/>
      <c r="F143" s="14" t="s">
        <v>27</v>
      </c>
      <c r="G143" s="14" t="s">
        <v>78</v>
      </c>
      <c r="H143" s="14" t="s">
        <v>558</v>
      </c>
      <c r="I143" s="14"/>
      <c r="J143" s="14" t="s">
        <v>80</v>
      </c>
      <c r="K143" s="14" t="s">
        <v>57</v>
      </c>
      <c r="L143" s="14"/>
      <c r="M143" s="15" t="str">
        <f t="shared" si="4"/>
        <v>完成</v>
      </c>
    </row>
    <row r="144" spans="1:13" ht="70" hidden="1" customHeight="1">
      <c r="A144" s="13">
        <v>4</v>
      </c>
      <c r="B144" s="13" t="s">
        <v>559</v>
      </c>
      <c r="C144" s="13" t="s">
        <v>286</v>
      </c>
      <c r="D144" s="13" t="s">
        <v>560</v>
      </c>
      <c r="E144" s="13"/>
      <c r="F144" s="14" t="s">
        <v>27</v>
      </c>
      <c r="G144" s="14" t="s">
        <v>78</v>
      </c>
      <c r="H144" s="14" t="s">
        <v>113</v>
      </c>
      <c r="I144" s="14" t="s">
        <v>561</v>
      </c>
      <c r="J144" s="14"/>
      <c r="K144" s="14" t="s">
        <v>57</v>
      </c>
      <c r="L144" s="14"/>
      <c r="M144" s="15" t="str">
        <f t="shared" si="4"/>
        <v>完成</v>
      </c>
    </row>
    <row r="145" spans="1:13" ht="70" hidden="1" customHeight="1">
      <c r="A145" s="13">
        <v>4</v>
      </c>
      <c r="B145" s="13" t="s">
        <v>562</v>
      </c>
      <c r="C145" s="13" t="s">
        <v>563</v>
      </c>
      <c r="D145" s="13"/>
      <c r="E145" s="13"/>
      <c r="F145" s="14" t="s">
        <v>35</v>
      </c>
      <c r="G145" s="14"/>
      <c r="H145" s="14" t="s">
        <v>564</v>
      </c>
      <c r="I145" s="14"/>
      <c r="J145" s="14"/>
      <c r="K145" s="14" t="s">
        <v>57</v>
      </c>
      <c r="L145" s="14"/>
      <c r="M145" s="15" t="str">
        <f t="shared" si="4"/>
        <v>完成</v>
      </c>
    </row>
    <row r="146" spans="1:13" ht="70" hidden="1" customHeight="1">
      <c r="A146" s="13">
        <v>4</v>
      </c>
      <c r="B146" s="13" t="s">
        <v>565</v>
      </c>
      <c r="C146" s="13" t="s">
        <v>566</v>
      </c>
      <c r="D146" s="13"/>
      <c r="E146" s="13"/>
      <c r="F146" s="14" t="s">
        <v>27</v>
      </c>
      <c r="G146" s="14" t="s">
        <v>101</v>
      </c>
      <c r="H146" s="14" t="s">
        <v>567</v>
      </c>
      <c r="I146" s="14"/>
      <c r="J146" s="14" t="s">
        <v>568</v>
      </c>
      <c r="K146" s="14" t="s">
        <v>57</v>
      </c>
      <c r="L146" s="14"/>
      <c r="M146" s="15" t="str">
        <f t="shared" si="4"/>
        <v>完成</v>
      </c>
    </row>
    <row r="147" spans="1:13" ht="70" hidden="1" customHeight="1">
      <c r="A147" s="13">
        <v>4</v>
      </c>
      <c r="B147" s="13" t="s">
        <v>569</v>
      </c>
      <c r="C147" s="13" t="s">
        <v>570</v>
      </c>
      <c r="D147" s="13" t="s">
        <v>429</v>
      </c>
      <c r="E147" s="13" t="s">
        <v>60</v>
      </c>
      <c r="F147" s="14" t="s">
        <v>35</v>
      </c>
      <c r="G147" s="14"/>
      <c r="H147" s="14" t="s">
        <v>571</v>
      </c>
      <c r="I147" s="14"/>
      <c r="J147" s="14"/>
      <c r="K147" s="14" t="s">
        <v>57</v>
      </c>
      <c r="L147" s="14"/>
      <c r="M147" s="15" t="str">
        <f t="shared" si="4"/>
        <v>完成</v>
      </c>
    </row>
    <row r="148" spans="1:13" ht="70" hidden="1" customHeight="1">
      <c r="A148" s="13">
        <v>4</v>
      </c>
      <c r="B148" s="13" t="s">
        <v>572</v>
      </c>
      <c r="C148" s="13" t="s">
        <v>573</v>
      </c>
      <c r="D148" s="13"/>
      <c r="E148" s="13"/>
      <c r="F148" s="14" t="s">
        <v>27</v>
      </c>
      <c r="G148" s="14" t="s">
        <v>101</v>
      </c>
      <c r="H148" s="14" t="s">
        <v>574</v>
      </c>
      <c r="I148" s="14" t="s">
        <v>574</v>
      </c>
      <c r="J148" s="14" t="s">
        <v>575</v>
      </c>
      <c r="K148" s="14" t="s">
        <v>57</v>
      </c>
      <c r="L148" s="14"/>
      <c r="M148" s="15" t="str">
        <f t="shared" si="4"/>
        <v>完成</v>
      </c>
    </row>
    <row r="149" spans="1:13" ht="70" hidden="1" customHeight="1">
      <c r="A149" s="13">
        <v>4</v>
      </c>
      <c r="B149" s="13" t="s">
        <v>576</v>
      </c>
      <c r="C149" s="13" t="s">
        <v>577</v>
      </c>
      <c r="D149" s="13"/>
      <c r="E149" s="13"/>
      <c r="F149" s="14" t="s">
        <v>35</v>
      </c>
      <c r="G149" s="14"/>
      <c r="H149" s="14" t="s">
        <v>578</v>
      </c>
      <c r="I149" s="14"/>
      <c r="J149" s="14"/>
      <c r="K149" s="14" t="s">
        <v>57</v>
      </c>
      <c r="L149" s="14"/>
      <c r="M149" s="15" t="str">
        <f t="shared" si="4"/>
        <v>完成</v>
      </c>
    </row>
    <row r="150" spans="1:13" ht="70" hidden="1" customHeight="1">
      <c r="A150" s="13">
        <v>4</v>
      </c>
      <c r="B150" s="13" t="s">
        <v>579</v>
      </c>
      <c r="C150" s="13" t="s">
        <v>210</v>
      </c>
      <c r="D150" s="13" t="s">
        <v>543</v>
      </c>
      <c r="E150" s="13"/>
      <c r="F150" s="14" t="s">
        <v>27</v>
      </c>
      <c r="G150" s="14" t="s">
        <v>101</v>
      </c>
      <c r="H150" s="14" t="s">
        <v>580</v>
      </c>
      <c r="I150" s="14"/>
      <c r="J150" s="14" t="s">
        <v>581</v>
      </c>
      <c r="K150" s="14" t="s">
        <v>57</v>
      </c>
      <c r="L150" s="14"/>
      <c r="M150" s="15" t="str">
        <f t="shared" si="4"/>
        <v>完成</v>
      </c>
    </row>
    <row r="151" spans="1:13" ht="70" hidden="1" customHeight="1">
      <c r="A151" s="13">
        <v>4</v>
      </c>
      <c r="B151" s="13" t="s">
        <v>582</v>
      </c>
      <c r="C151" s="13" t="s">
        <v>583</v>
      </c>
      <c r="D151" s="13"/>
      <c r="E151" s="13"/>
      <c r="F151" s="14" t="s">
        <v>27</v>
      </c>
      <c r="G151" s="14" t="s">
        <v>60</v>
      </c>
      <c r="H151" s="14" t="s">
        <v>584</v>
      </c>
      <c r="I151" s="14"/>
      <c r="J151" s="14" t="s">
        <v>585</v>
      </c>
      <c r="K151" s="14" t="s">
        <v>57</v>
      </c>
      <c r="L151" s="14"/>
      <c r="M151" s="15" t="str">
        <f t="shared" si="4"/>
        <v>完成</v>
      </c>
    </row>
    <row r="152" spans="1:13" ht="70" hidden="1" customHeight="1">
      <c r="A152" s="13">
        <v>4</v>
      </c>
      <c r="B152" s="13" t="s">
        <v>586</v>
      </c>
      <c r="C152" s="13" t="s">
        <v>286</v>
      </c>
      <c r="D152" s="13" t="s">
        <v>388</v>
      </c>
      <c r="E152" s="13"/>
      <c r="F152" s="14" t="s">
        <v>33</v>
      </c>
      <c r="G152" s="14"/>
      <c r="H152" s="14" t="s">
        <v>389</v>
      </c>
      <c r="I152" s="14"/>
      <c r="J152" s="14"/>
      <c r="K152" s="14" t="s">
        <v>57</v>
      </c>
      <c r="L152" s="14" t="s">
        <v>587</v>
      </c>
      <c r="M152" s="15" t="str">
        <f t="shared" si="4"/>
        <v>完成</v>
      </c>
    </row>
    <row r="153" spans="1:13" ht="70" hidden="1" customHeight="1">
      <c r="A153" s="13">
        <v>4</v>
      </c>
      <c r="B153" s="13" t="s">
        <v>588</v>
      </c>
      <c r="C153" s="13" t="s">
        <v>286</v>
      </c>
      <c r="D153" s="13" t="s">
        <v>471</v>
      </c>
      <c r="E153" s="13"/>
      <c r="F153" s="14" t="s">
        <v>27</v>
      </c>
      <c r="G153" s="14" t="s">
        <v>176</v>
      </c>
      <c r="H153" s="14" t="s">
        <v>589</v>
      </c>
      <c r="I153" s="14"/>
      <c r="J153" s="14" t="s">
        <v>590</v>
      </c>
      <c r="K153" s="14" t="s">
        <v>57</v>
      </c>
      <c r="L153" s="14"/>
      <c r="M153" s="15" t="str">
        <f t="shared" si="4"/>
        <v>完成</v>
      </c>
    </row>
    <row r="154" spans="1:13" ht="70" hidden="1" customHeight="1">
      <c r="A154" s="13">
        <v>4</v>
      </c>
      <c r="B154" s="13" t="s">
        <v>591</v>
      </c>
      <c r="C154" s="13" t="s">
        <v>592</v>
      </c>
      <c r="D154" s="13"/>
      <c r="E154" s="13"/>
      <c r="F154" s="14" t="s">
        <v>27</v>
      </c>
      <c r="G154" s="14" t="s">
        <v>86</v>
      </c>
      <c r="H154" s="14" t="s">
        <v>253</v>
      </c>
      <c r="I154" s="14"/>
      <c r="J154" s="14" t="s">
        <v>254</v>
      </c>
      <c r="K154" s="14" t="s">
        <v>57</v>
      </c>
      <c r="L154" s="14"/>
      <c r="M154" s="15" t="str">
        <f t="shared" si="4"/>
        <v>完成</v>
      </c>
    </row>
    <row r="155" spans="1:13" ht="70" hidden="1" customHeight="1">
      <c r="A155" s="13">
        <v>4</v>
      </c>
      <c r="B155" s="13" t="s">
        <v>593</v>
      </c>
      <c r="C155" s="13" t="s">
        <v>594</v>
      </c>
      <c r="D155" s="13"/>
      <c r="E155" s="13"/>
      <c r="F155" s="14" t="s">
        <v>30</v>
      </c>
      <c r="G155" s="14"/>
      <c r="H155" s="14" t="s">
        <v>595</v>
      </c>
      <c r="I155" s="14"/>
      <c r="J155" s="14" t="s">
        <v>162</v>
      </c>
      <c r="K155" s="14" t="s">
        <v>57</v>
      </c>
      <c r="L155" s="14"/>
      <c r="M155" s="15" t="str">
        <f t="shared" si="4"/>
        <v>完成</v>
      </c>
    </row>
    <row r="156" spans="1:13" ht="70" hidden="1" customHeight="1">
      <c r="A156" s="13">
        <v>4</v>
      </c>
      <c r="B156" s="13" t="s">
        <v>596</v>
      </c>
      <c r="C156" s="13" t="s">
        <v>597</v>
      </c>
      <c r="D156" s="13"/>
      <c r="E156" s="13"/>
      <c r="F156" s="14" t="s">
        <v>30</v>
      </c>
      <c r="G156" s="14"/>
      <c r="H156" s="14" t="s">
        <v>598</v>
      </c>
      <c r="I156" s="14" t="s">
        <v>339</v>
      </c>
      <c r="J156" s="14"/>
      <c r="K156" s="14" t="s">
        <v>57</v>
      </c>
      <c r="L156" s="14"/>
      <c r="M156" s="15" t="str">
        <f t="shared" si="4"/>
        <v>完成</v>
      </c>
    </row>
    <row r="157" spans="1:13" ht="70" hidden="1" customHeight="1">
      <c r="A157" s="13">
        <v>4</v>
      </c>
      <c r="B157" s="13" t="s">
        <v>599</v>
      </c>
      <c r="C157" s="13" t="s">
        <v>600</v>
      </c>
      <c r="D157" s="13"/>
      <c r="E157" s="13"/>
      <c r="F157" s="14" t="s">
        <v>27</v>
      </c>
      <c r="G157" s="14" t="s">
        <v>176</v>
      </c>
      <c r="H157" s="14" t="s">
        <v>601</v>
      </c>
      <c r="I157" s="14"/>
      <c r="J157" s="14" t="s">
        <v>602</v>
      </c>
      <c r="K157" s="14" t="s">
        <v>57</v>
      </c>
      <c r="L157" s="14"/>
      <c r="M157" s="15" t="str">
        <f t="shared" si="4"/>
        <v>完成</v>
      </c>
    </row>
    <row r="158" spans="1:13" ht="70" hidden="1" customHeight="1">
      <c r="A158" s="13">
        <v>4</v>
      </c>
      <c r="B158" s="13" t="s">
        <v>603</v>
      </c>
      <c r="C158" s="13" t="s">
        <v>67</v>
      </c>
      <c r="D158" s="13" t="s">
        <v>604</v>
      </c>
      <c r="E158" s="13"/>
      <c r="F158" s="14" t="s">
        <v>33</v>
      </c>
      <c r="G158" s="14"/>
      <c r="H158" s="14" t="s">
        <v>605</v>
      </c>
      <c r="I158" s="14"/>
      <c r="J158" s="14" t="s">
        <v>509</v>
      </c>
      <c r="K158" s="14" t="s">
        <v>57</v>
      </c>
      <c r="L158" s="14"/>
      <c r="M158" s="15" t="str">
        <f t="shared" si="4"/>
        <v>完成</v>
      </c>
    </row>
    <row r="159" spans="1:13" ht="70" hidden="1" customHeight="1">
      <c r="A159" s="13">
        <v>4</v>
      </c>
      <c r="B159" s="13" t="s">
        <v>606</v>
      </c>
      <c r="C159" s="13" t="s">
        <v>67</v>
      </c>
      <c r="D159" s="13" t="s">
        <v>560</v>
      </c>
      <c r="E159" s="13"/>
      <c r="F159" s="14" t="s">
        <v>27</v>
      </c>
      <c r="G159" s="14" t="s">
        <v>78</v>
      </c>
      <c r="H159" s="14" t="s">
        <v>113</v>
      </c>
      <c r="I159" s="14" t="s">
        <v>561</v>
      </c>
      <c r="J159" s="14" t="s">
        <v>607</v>
      </c>
      <c r="K159" s="14" t="s">
        <v>57</v>
      </c>
      <c r="L159" s="14"/>
      <c r="M159" s="15" t="str">
        <f t="shared" si="4"/>
        <v>完成</v>
      </c>
    </row>
    <row r="160" spans="1:13" ht="70" hidden="1" customHeight="1">
      <c r="A160" s="13">
        <v>4</v>
      </c>
      <c r="B160" s="13" t="s">
        <v>608</v>
      </c>
      <c r="C160" s="13" t="s">
        <v>609</v>
      </c>
      <c r="D160" s="13"/>
      <c r="E160" s="13"/>
      <c r="F160" s="14" t="s">
        <v>35</v>
      </c>
      <c r="G160" s="14"/>
      <c r="H160" s="14" t="s">
        <v>610</v>
      </c>
      <c r="I160" s="14"/>
      <c r="J160" s="14"/>
      <c r="K160" s="14" t="s">
        <v>57</v>
      </c>
      <c r="L160" s="14"/>
      <c r="M160" s="15" t="str">
        <f t="shared" si="4"/>
        <v>完成</v>
      </c>
    </row>
    <row r="161" spans="1:13" ht="70" hidden="1" customHeight="1">
      <c r="A161" s="13">
        <v>4</v>
      </c>
      <c r="B161" s="13" t="s">
        <v>611</v>
      </c>
      <c r="C161" s="13" t="s">
        <v>612</v>
      </c>
      <c r="D161" s="13"/>
      <c r="E161" s="13"/>
      <c r="F161" s="14" t="s">
        <v>27</v>
      </c>
      <c r="G161" s="14" t="s">
        <v>116</v>
      </c>
      <c r="H161" s="14" t="s">
        <v>613</v>
      </c>
      <c r="I161" s="14"/>
      <c r="J161" s="14" t="s">
        <v>614</v>
      </c>
      <c r="K161" s="14" t="s">
        <v>57</v>
      </c>
      <c r="L161" s="14"/>
      <c r="M161" s="15" t="str">
        <f t="shared" si="4"/>
        <v>完成</v>
      </c>
    </row>
  </sheetData>
  <phoneticPr fontId="13" type="noConversion"/>
  <conditionalFormatting sqref="M2:M161">
    <cfRule type="containsText" dxfId="2" priority="1" operator="containsText" text="完成"/>
    <cfRule type="containsText" dxfId="1" priority="2" operator="containsText" text="待填写"/>
    <cfRule type="notContainsText" dxfId="0" priority="3" operator="notContains" text="完成"/>
  </conditionalFormatting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xr:uid="{00000000-0002-0000-0100-000000000000}">
          <x14:formula1>
            <xm:f>选项与回传!$A$2:$A$5</xm:f>
          </x14:formula1>
          <xm:sqref>F2:F161</xm:sqref>
        </x14:dataValidation>
        <x14:dataValidation type="list" xr:uid="{00000000-0002-0000-0100-000001000000}">
          <x14:formula1>
            <xm:f>选项与回传!$B$2:$B$9</xm:f>
          </x14:formula1>
          <xm:sqref>G2:G161</xm:sqref>
        </x14:dataValidation>
        <x14:dataValidation type="list" xr:uid="{00000000-0002-0000-0100-000002000000}">
          <x14:formula1>
            <xm:f>选项与回传!$C$2:$C$4</xm:f>
          </x14:formula1>
          <xm:sqref>K2:K161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11"/>
  <sheetViews>
    <sheetView showGridLines="0" workbookViewId="0"/>
  </sheetViews>
  <sheetFormatPr baseColWidth="10" defaultColWidth="8.83203125" defaultRowHeight="14"/>
  <cols>
    <col min="1" max="1" width="25" customWidth="1"/>
    <col min="2" max="2" width="36" customWidth="1"/>
    <col min="3" max="4" width="42" customWidth="1"/>
    <col min="5" max="5" width="48" customWidth="1"/>
    <col min="6" max="6" width="30" customWidth="1"/>
  </cols>
  <sheetData>
    <row r="1" spans="1:6" ht="19">
      <c r="A1" s="26" t="s">
        <v>615</v>
      </c>
      <c r="B1" s="26"/>
      <c r="C1" s="26"/>
      <c r="D1" s="26"/>
      <c r="E1" s="26"/>
      <c r="F1" s="26"/>
    </row>
    <row r="3" spans="1:6" ht="16">
      <c r="A3" s="16" t="s">
        <v>616</v>
      </c>
      <c r="B3" s="16" t="s">
        <v>617</v>
      </c>
      <c r="C3" s="16" t="s">
        <v>618</v>
      </c>
      <c r="D3" s="16" t="s">
        <v>619</v>
      </c>
      <c r="E3" s="16" t="s">
        <v>620</v>
      </c>
      <c r="F3" s="16" t="s">
        <v>621</v>
      </c>
    </row>
    <row r="4" spans="1:6" ht="105" customHeight="1">
      <c r="A4" s="17" t="s">
        <v>176</v>
      </c>
      <c r="B4" s="17" t="s">
        <v>622</v>
      </c>
      <c r="C4" s="17" t="s">
        <v>623</v>
      </c>
      <c r="D4" s="17" t="s">
        <v>624</v>
      </c>
      <c r="E4" s="17" t="s">
        <v>625</v>
      </c>
      <c r="F4" s="17" t="s">
        <v>626</v>
      </c>
    </row>
    <row r="5" spans="1:6" ht="105" customHeight="1">
      <c r="A5" s="17" t="s">
        <v>86</v>
      </c>
      <c r="B5" s="17" t="s">
        <v>627</v>
      </c>
      <c r="C5" s="17" t="s">
        <v>628</v>
      </c>
      <c r="D5" s="17" t="s">
        <v>629</v>
      </c>
      <c r="E5" s="17" t="s">
        <v>630</v>
      </c>
      <c r="F5" s="17" t="s">
        <v>631</v>
      </c>
    </row>
    <row r="6" spans="1:6" ht="105" customHeight="1">
      <c r="A6" s="17" t="s">
        <v>101</v>
      </c>
      <c r="B6" s="17" t="s">
        <v>632</v>
      </c>
      <c r="C6" s="17" t="s">
        <v>633</v>
      </c>
      <c r="D6" s="17" t="s">
        <v>634</v>
      </c>
      <c r="E6" s="17" t="s">
        <v>635</v>
      </c>
      <c r="F6" s="17" t="s">
        <v>636</v>
      </c>
    </row>
    <row r="7" spans="1:6" ht="105" customHeight="1">
      <c r="A7" s="17" t="s">
        <v>116</v>
      </c>
      <c r="B7" s="17" t="s">
        <v>637</v>
      </c>
      <c r="C7" s="17" t="s">
        <v>638</v>
      </c>
      <c r="D7" s="17" t="s">
        <v>639</v>
      </c>
      <c r="E7" s="17" t="s">
        <v>640</v>
      </c>
      <c r="F7" s="17" t="s">
        <v>641</v>
      </c>
    </row>
    <row r="8" spans="1:6" ht="105" customHeight="1">
      <c r="A8" s="17" t="s">
        <v>78</v>
      </c>
      <c r="B8" s="17" t="s">
        <v>642</v>
      </c>
      <c r="C8" s="17" t="s">
        <v>643</v>
      </c>
      <c r="D8" s="17" t="s">
        <v>644</v>
      </c>
      <c r="E8" s="17" t="s">
        <v>645</v>
      </c>
      <c r="F8" s="17" t="s">
        <v>646</v>
      </c>
    </row>
    <row r="9" spans="1:6" ht="105" customHeight="1">
      <c r="A9" s="17" t="s">
        <v>54</v>
      </c>
      <c r="B9" s="17" t="s">
        <v>647</v>
      </c>
      <c r="C9" s="17" t="s">
        <v>648</v>
      </c>
      <c r="D9" s="17" t="s">
        <v>649</v>
      </c>
      <c r="E9" s="17" t="s">
        <v>650</v>
      </c>
      <c r="F9" s="17" t="s">
        <v>651</v>
      </c>
    </row>
    <row r="10" spans="1:6" ht="105" customHeight="1">
      <c r="A10" s="17" t="s">
        <v>60</v>
      </c>
      <c r="B10" s="17" t="s">
        <v>652</v>
      </c>
      <c r="C10" s="17" t="s">
        <v>653</v>
      </c>
      <c r="D10" s="17" t="s">
        <v>654</v>
      </c>
      <c r="E10" s="17" t="s">
        <v>655</v>
      </c>
      <c r="F10" s="17" t="s">
        <v>656</v>
      </c>
    </row>
    <row r="11" spans="1:6" ht="105" customHeight="1">
      <c r="A11" s="17" t="s">
        <v>91</v>
      </c>
      <c r="B11" s="17" t="s">
        <v>657</v>
      </c>
      <c r="C11" s="17" t="s">
        <v>658</v>
      </c>
      <c r="D11" s="17" t="s">
        <v>659</v>
      </c>
      <c r="E11" s="17" t="s">
        <v>660</v>
      </c>
      <c r="F11" s="17" t="s">
        <v>661</v>
      </c>
    </row>
  </sheetData>
  <mergeCells count="1">
    <mergeCell ref="A1:F1"/>
  </mergeCells>
  <phoneticPr fontId="13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10"/>
  <sheetViews>
    <sheetView showGridLines="0" workbookViewId="0"/>
  </sheetViews>
  <sheetFormatPr baseColWidth="10" defaultColWidth="8.83203125" defaultRowHeight="14"/>
  <cols>
    <col min="1" max="1" width="23" customWidth="1"/>
    <col min="2" max="2" width="29" customWidth="1"/>
    <col min="3" max="3" width="18" customWidth="1"/>
    <col min="4" max="4" width="4" customWidth="1"/>
    <col min="5" max="5" width="31" customWidth="1"/>
    <col min="6" max="6" width="72" customWidth="1"/>
  </cols>
  <sheetData>
    <row r="1" spans="1:6" ht="15">
      <c r="A1" s="18" t="s">
        <v>24</v>
      </c>
      <c r="B1" s="18" t="s">
        <v>45</v>
      </c>
      <c r="C1" s="18" t="s">
        <v>49</v>
      </c>
      <c r="D1" s="1"/>
      <c r="E1" s="27" t="s">
        <v>662</v>
      </c>
      <c r="F1" s="27"/>
    </row>
    <row r="2" spans="1:6" ht="15">
      <c r="A2" s="19" t="s">
        <v>27</v>
      </c>
      <c r="B2" s="19" t="s">
        <v>176</v>
      </c>
      <c r="C2" s="19" t="s">
        <v>57</v>
      </c>
      <c r="D2" s="1"/>
      <c r="E2" s="20" t="s">
        <v>663</v>
      </c>
      <c r="F2" s="21">
        <v>1</v>
      </c>
    </row>
    <row r="3" spans="1:6" ht="16">
      <c r="A3" s="19" t="s">
        <v>30</v>
      </c>
      <c r="B3" s="19" t="s">
        <v>86</v>
      </c>
      <c r="C3" s="19" t="s">
        <v>137</v>
      </c>
      <c r="D3" s="1"/>
      <c r="E3" s="20" t="s">
        <v>664</v>
      </c>
      <c r="F3" s="21" t="s">
        <v>665</v>
      </c>
    </row>
    <row r="4" spans="1:6" ht="16">
      <c r="A4" s="19" t="s">
        <v>33</v>
      </c>
      <c r="B4" s="19" t="s">
        <v>101</v>
      </c>
      <c r="C4" s="19" t="s">
        <v>450</v>
      </c>
      <c r="D4" s="1"/>
      <c r="E4" s="20" t="s">
        <v>666</v>
      </c>
      <c r="F4" s="21" t="s">
        <v>667</v>
      </c>
    </row>
    <row r="5" spans="1:6" ht="16">
      <c r="A5" s="19" t="s">
        <v>35</v>
      </c>
      <c r="B5" s="19" t="s">
        <v>116</v>
      </c>
      <c r="C5" s="19"/>
      <c r="D5" s="1"/>
      <c r="E5" s="20" t="s">
        <v>668</v>
      </c>
      <c r="F5" s="21" t="s">
        <v>2</v>
      </c>
    </row>
    <row r="6" spans="1:6" ht="15">
      <c r="A6" s="19"/>
      <c r="B6" s="19" t="s">
        <v>78</v>
      </c>
      <c r="C6" s="19"/>
      <c r="D6" s="1"/>
      <c r="E6" s="20" t="s">
        <v>669</v>
      </c>
      <c r="F6" s="21">
        <v>160</v>
      </c>
    </row>
    <row r="7" spans="1:6" ht="16">
      <c r="A7" s="19"/>
      <c r="B7" s="19" t="s">
        <v>54</v>
      </c>
      <c r="C7" s="19"/>
      <c r="D7" s="1"/>
      <c r="E7" s="20" t="s">
        <v>670</v>
      </c>
      <c r="F7" s="21" t="s">
        <v>671</v>
      </c>
    </row>
    <row r="8" spans="1:6" ht="16">
      <c r="A8" s="19"/>
      <c r="B8" s="19" t="s">
        <v>60</v>
      </c>
      <c r="C8" s="19"/>
      <c r="D8" s="1"/>
      <c r="E8" s="20" t="s">
        <v>672</v>
      </c>
      <c r="F8" s="21" t="s">
        <v>673</v>
      </c>
    </row>
    <row r="9" spans="1:6" ht="16">
      <c r="A9" s="19"/>
      <c r="B9" s="19" t="s">
        <v>91</v>
      </c>
      <c r="C9" s="19"/>
      <c r="D9" s="1"/>
      <c r="E9" s="20" t="s">
        <v>674</v>
      </c>
      <c r="F9" s="21" t="s">
        <v>675</v>
      </c>
    </row>
    <row r="10" spans="1:6" ht="16">
      <c r="A10" s="1"/>
      <c r="B10" s="1"/>
      <c r="C10" s="1"/>
      <c r="D10" s="1"/>
      <c r="E10" s="20" t="s">
        <v>676</v>
      </c>
      <c r="F10" s="21" t="s">
        <v>677</v>
      </c>
    </row>
  </sheetData>
  <mergeCells count="1">
    <mergeCell ref="E1:F1"/>
  </mergeCells>
  <phoneticPr fontId="1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使用说明</vt:lpstr>
      <vt:lpstr>盲审</vt:lpstr>
      <vt:lpstr>意图目录</vt:lpstr>
      <vt:lpstr>选项与回传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T182853</cp:lastModifiedBy>
  <dcterms:modified xsi:type="dcterms:W3CDTF">2026-08-21T18:05:54Z</dcterms:modified>
</cp:coreProperties>
</file>